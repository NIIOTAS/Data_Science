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TAS\Desktop\Data_Science\Data_Analytics\"/>
    </mc:Choice>
  </mc:AlternateContent>
  <xr:revisionPtr revIDLastSave="0" documentId="13_ncr:1_{2F553D01-5D50-4FDF-9AAA-07CF3F4D962D}" xr6:coauthVersionLast="47" xr6:coauthVersionMax="47" xr10:uidLastSave="{00000000-0000-0000-0000-000000000000}"/>
  <bookViews>
    <workbookView xWindow="-108" yWindow="-108" windowWidth="23256" windowHeight="12456" activeTab="2" xr2:uid="{74CFDAD7-0BE6-41C8-B341-1293C24CBEED}"/>
  </bookViews>
  <sheets>
    <sheet name="introduction" sheetId="1" r:id="rId1"/>
    <sheet name="Graph_for_table" sheetId="3" r:id="rId2"/>
    <sheet name="Hack" sheetId="2" r:id="rId3"/>
  </sheets>
  <externalReferences>
    <externalReference r:id="rId4"/>
  </externalReferences>
  <definedNames>
    <definedName name="_xlnm._FilterDatabase" localSheetId="2" hidden="1">Hack!$M$36:$P$41</definedName>
  </definedNames>
  <calcPr calcId="191029"/>
  <pivotCaches>
    <pivotCache cacheId="22" r:id="rId5"/>
    <pivotCache cacheId="6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1" i="2" l="1" a="1"/>
  <c r="AC31" i="2" s="1"/>
  <c r="W6" i="2" a="1"/>
  <c r="W6" i="2" s="1"/>
  <c r="M95" i="2" a="1"/>
  <c r="M95" i="2" s="1"/>
  <c r="P81" i="2"/>
  <c r="M62" i="2" a="1"/>
  <c r="M62" i="2" s="1"/>
  <c r="M51" i="2" a="1"/>
  <c r="M51" i="2" s="1"/>
  <c r="L6" i="2" a="1"/>
  <c r="L6" i="2" s="1"/>
  <c r="A89" i="2" a="1"/>
  <c r="B92" i="2" s="1"/>
  <c r="A73" i="2" a="1"/>
  <c r="A73" i="2" s="1"/>
  <c r="A60" i="2" a="1"/>
  <c r="A60" i="2" s="1"/>
  <c r="A52" i="2" a="1"/>
  <c r="A52" i="2" s="1"/>
  <c r="B28" i="2"/>
  <c r="A45" i="2" a="1"/>
  <c r="A45" i="2" s="1"/>
  <c r="H38" i="2" a="1"/>
  <c r="H38" i="2" s="1"/>
  <c r="B38" i="2" a="1"/>
  <c r="B38" i="2" s="1"/>
  <c r="G30" i="2" a="1"/>
  <c r="G30" i="2" s="1"/>
  <c r="H24" i="2"/>
  <c r="G18" i="2" a="1"/>
  <c r="G18" i="2" s="1"/>
  <c r="E9" i="2" a="1"/>
  <c r="E9" i="2" s="1"/>
  <c r="A14" i="2" a="1"/>
  <c r="A14" i="2" s="1"/>
  <c r="A6" i="2" a="1"/>
  <c r="A6" i="2" s="1"/>
  <c r="N5" i="1" a="1"/>
  <c r="N5" i="1" s="1"/>
  <c r="K7" i="1"/>
  <c r="K8" i="1"/>
  <c r="K9" i="1"/>
  <c r="K10" i="1"/>
  <c r="K6" i="1"/>
  <c r="J6" i="1"/>
  <c r="J7" i="1"/>
  <c r="J8" i="1"/>
  <c r="J9" i="1"/>
  <c r="J10" i="1"/>
  <c r="I7" i="1"/>
  <c r="I8" i="1"/>
  <c r="I9" i="1"/>
  <c r="I10" i="1"/>
  <c r="I6" i="1"/>
  <c r="V64" i="2" l="1" a="1"/>
  <c r="V64" i="2" s="1"/>
  <c r="B11" i="2"/>
  <c r="B19" i="2"/>
  <c r="M84" i="2" a="1"/>
  <c r="M84" i="2" s="1"/>
  <c r="F15" i="2"/>
  <c r="A92" i="2"/>
  <c r="B91" i="2"/>
  <c r="B94" i="2"/>
  <c r="B90" i="2"/>
  <c r="A91" i="2"/>
  <c r="A94" i="2"/>
  <c r="A90" i="2"/>
  <c r="B93" i="2"/>
  <c r="B89" i="2"/>
  <c r="A93" i="2"/>
  <c r="A89" i="2"/>
  <c r="X51" i="2" l="1" a="1"/>
  <c r="X51" i="2" s="1"/>
  <c r="V90" i="2" l="1" a="1"/>
  <c r="V90" i="2" s="1"/>
  <c r="M36" i="2" a="1"/>
  <c r="M36" i="2" s="1"/>
  <c r="L18" i="2" a="1"/>
  <c r="L18" i="2" s="1"/>
  <c r="M28" i="2" a="1"/>
  <c r="M28" i="2" s="1"/>
  <c r="A30" i="2" l="1" a="1"/>
  <c r="A3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<sst xmlns="http://schemas.openxmlformats.org/spreadsheetml/2006/main" count="157" uniqueCount="107">
  <si>
    <t>Skill</t>
  </si>
  <si>
    <t>Python</t>
  </si>
  <si>
    <t>SQL</t>
  </si>
  <si>
    <t>Tableau</t>
  </si>
  <si>
    <t>PowerBI</t>
  </si>
  <si>
    <t>Excel</t>
  </si>
  <si>
    <t>Difficulty 1-5</t>
  </si>
  <si>
    <t>Skill known</t>
  </si>
  <si>
    <t>DateStarted</t>
  </si>
  <si>
    <t>Skill &amp; level</t>
  </si>
  <si>
    <t>b</t>
  </si>
  <si>
    <t>Column1</t>
  </si>
  <si>
    <t>Column2</t>
  </si>
  <si>
    <t>beginner</t>
  </si>
  <si>
    <t>Advanced</t>
  </si>
  <si>
    <t>intermediate</t>
  </si>
  <si>
    <t>Noob</t>
  </si>
  <si>
    <t>Pro</t>
  </si>
  <si>
    <t>Difficulty level</t>
  </si>
  <si>
    <t>Rate</t>
  </si>
  <si>
    <t>Skill_Rate</t>
  </si>
  <si>
    <t>Skill_Difficulty</t>
  </si>
  <si>
    <t>copy using range</t>
  </si>
  <si>
    <t>10steps to getting you up and running with Excel</t>
  </si>
  <si>
    <t>using Alt and = to sum.</t>
  </si>
  <si>
    <t>1.Add</t>
  </si>
  <si>
    <t>using formula to sum</t>
  </si>
  <si>
    <t>Conditional additions</t>
  </si>
  <si>
    <t>sum_greater_than</t>
  </si>
  <si>
    <t>sum_less_than</t>
  </si>
  <si>
    <t>NB: other operators are  &gt;=, &lt;=, &lt;&gt;.</t>
  </si>
  <si>
    <t>2. Filling.</t>
  </si>
  <si>
    <t>Banana</t>
  </si>
  <si>
    <r>
      <rPr>
        <b/>
        <sz val="20"/>
        <color theme="3" tint="0.89999084444715716"/>
        <rFont val="Arial Black"/>
        <family val="2"/>
      </rPr>
      <t>3.Data Stufffed - lets split it</t>
    </r>
    <r>
      <rPr>
        <sz val="11"/>
        <color theme="1"/>
        <rFont val="Aptos Narrow"/>
        <family val="2"/>
        <scheme val="minor"/>
      </rPr>
      <t>.</t>
    </r>
  </si>
  <si>
    <t>Flash Fill - Ctrl + E</t>
  </si>
  <si>
    <t>4.TRANSPOSE</t>
  </si>
  <si>
    <t>Bread</t>
  </si>
  <si>
    <t>Donuts</t>
  </si>
  <si>
    <t>Cookies</t>
  </si>
  <si>
    <t>Cakes</t>
  </si>
  <si>
    <t>Pies</t>
  </si>
  <si>
    <t>Transpose - copy &amp;Paste method</t>
  </si>
  <si>
    <t>butts</t>
  </si>
  <si>
    <t xml:space="preserve">Transpose - Formula Way </t>
  </si>
  <si>
    <t>5.Sorting and Filtering</t>
  </si>
  <si>
    <t>6.Tables</t>
  </si>
  <si>
    <t>Column3</t>
  </si>
  <si>
    <t>name</t>
  </si>
  <si>
    <t>school</t>
  </si>
  <si>
    <t>sex</t>
  </si>
  <si>
    <t>kojo</t>
  </si>
  <si>
    <t>kofi</t>
  </si>
  <si>
    <t>ama</t>
  </si>
  <si>
    <t>densu</t>
  </si>
  <si>
    <t>araba</t>
  </si>
  <si>
    <t>moh</t>
  </si>
  <si>
    <t>arakan</t>
  </si>
  <si>
    <t>garrison</t>
  </si>
  <si>
    <t>5bm</t>
  </si>
  <si>
    <t>st.marys</t>
  </si>
  <si>
    <t>m</t>
  </si>
  <si>
    <t>f</t>
  </si>
  <si>
    <t>Naa</t>
  </si>
  <si>
    <t>total</t>
  </si>
  <si>
    <t>sum</t>
  </si>
  <si>
    <t>7.Dropdown</t>
  </si>
  <si>
    <t>Produce</t>
  </si>
  <si>
    <t>Food</t>
  </si>
  <si>
    <t>Dept</t>
  </si>
  <si>
    <t>Apples</t>
  </si>
  <si>
    <t>Beef</t>
  </si>
  <si>
    <t>Lemons</t>
  </si>
  <si>
    <t>Brocoli</t>
  </si>
  <si>
    <t>Ham</t>
  </si>
  <si>
    <t>Kale</t>
  </si>
  <si>
    <t>Chicken</t>
  </si>
  <si>
    <t>Bakery</t>
  </si>
  <si>
    <t>Bananas</t>
  </si>
  <si>
    <t>Broccoli</t>
  </si>
  <si>
    <t>Department</t>
  </si>
  <si>
    <t>Meat</t>
  </si>
  <si>
    <t>Cereal</t>
  </si>
  <si>
    <t>Vegetable</t>
  </si>
  <si>
    <t>Fruits</t>
  </si>
  <si>
    <t>8.Data Analysis</t>
  </si>
  <si>
    <t>Category</t>
  </si>
  <si>
    <t>Oct</t>
  </si>
  <si>
    <t>Nov</t>
  </si>
  <si>
    <t>Dec</t>
  </si>
  <si>
    <t>Veggies</t>
  </si>
  <si>
    <t>Fruit</t>
  </si>
  <si>
    <t>Breads</t>
  </si>
  <si>
    <t>Desserts</t>
  </si>
  <si>
    <t>Deli</t>
  </si>
  <si>
    <t>Sandwich</t>
  </si>
  <si>
    <t>Salads</t>
  </si>
  <si>
    <t>(blank)</t>
  </si>
  <si>
    <t>Sum of Dec</t>
  </si>
  <si>
    <t>9. Charts</t>
  </si>
  <si>
    <t>10. Pivot Tables</t>
  </si>
  <si>
    <t>Row Labels</t>
  </si>
  <si>
    <t>Beer</t>
  </si>
  <si>
    <t>Soda</t>
  </si>
  <si>
    <t>Wine</t>
  </si>
  <si>
    <t>Grand Total</t>
  </si>
  <si>
    <t>Sum of 1400</t>
  </si>
  <si>
    <t>Sum of 45982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</si>
</sst>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GH₵&quot;* #,##0.00_-;\-&quot;GH₵&quot;* #,##0.00_-;_-&quot;GH₵&quot;* &quot;-&quot;??_-;_-@_-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20"/>
      <color theme="1"/>
      <name val="Bahnschrift"/>
      <family val="2"/>
    </font>
    <font>
      <b/>
      <sz val="20"/>
      <color rgb="FFFFC000"/>
      <name val="Bahnschrift"/>
      <family val="2"/>
    </font>
    <font>
      <b/>
      <sz val="18"/>
      <color theme="1"/>
      <name val="Arial Black"/>
      <family val="2"/>
    </font>
    <font>
      <b/>
      <sz val="20"/>
      <color theme="1"/>
      <name val="Arial Black"/>
      <family val="2"/>
    </font>
    <font>
      <b/>
      <sz val="20"/>
      <color theme="3" tint="0.89999084444715716"/>
      <name val="Arial Black"/>
      <family val="2"/>
    </font>
    <font>
      <b/>
      <sz val="18"/>
      <color theme="8" tint="-0.249977111117893"/>
      <name val="Bahnschrift"/>
      <family val="2"/>
    </font>
    <font>
      <sz val="11"/>
      <color theme="8" tint="-0.249977111117893"/>
      <name val="Aptos Narrow"/>
      <family val="2"/>
      <scheme val="minor"/>
    </font>
    <font>
      <b/>
      <sz val="20"/>
      <color theme="7" tint="-0.249977111117893"/>
      <name val="Arial Black"/>
      <family val="2"/>
    </font>
    <font>
      <sz val="20"/>
      <color theme="8" tint="-0.249977111117893"/>
      <name val="Arial Black"/>
      <family val="2"/>
    </font>
    <font>
      <b/>
      <sz val="20"/>
      <color theme="6" tint="0.59999389629810485"/>
      <name val="Arial Black"/>
      <family val="2"/>
    </font>
    <font>
      <sz val="11"/>
      <color rgb="FFFFFF00"/>
      <name val="Aptos Narrow"/>
      <family val="2"/>
      <scheme val="minor"/>
    </font>
    <font>
      <b/>
      <sz val="20"/>
      <color rgb="FFFFFF00"/>
      <name val="Arial Black"/>
      <family val="2"/>
    </font>
  </fonts>
  <fills count="2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0" fontId="4" fillId="0" borderId="5" applyNumberFormat="0" applyFill="0" applyAlignment="0" applyProtection="0"/>
    <xf numFmtId="0" fontId="3" fillId="18" borderId="0"/>
  </cellStyleXfs>
  <cellXfs count="43">
    <xf numFmtId="0" fontId="0" fillId="0" borderId="0" xfId="0"/>
    <xf numFmtId="0" fontId="2" fillId="0" borderId="0" xfId="0" applyFont="1"/>
    <xf numFmtId="0" fontId="0" fillId="3" borderId="1" xfId="0" applyFill="1" applyBorder="1"/>
    <xf numFmtId="0" fontId="0" fillId="3" borderId="2" xfId="0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0" borderId="3" xfId="0" applyBorder="1"/>
    <xf numFmtId="0" fontId="0" fillId="0" borderId="4" xfId="0" applyBorder="1"/>
    <xf numFmtId="14" fontId="0" fillId="0" borderId="0" xfId="0" applyNumberFormat="1"/>
    <xf numFmtId="0" fontId="0" fillId="4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6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5" fillId="5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7" fillId="10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/>
    <xf numFmtId="0" fontId="10" fillId="15" borderId="0" xfId="0" applyFont="1" applyFill="1" applyAlignment="1"/>
    <xf numFmtId="0" fontId="11" fillId="15" borderId="0" xfId="0" applyFont="1" applyFill="1" applyAlignment="1"/>
    <xf numFmtId="0" fontId="11" fillId="15" borderId="0" xfId="0" applyFont="1" applyFill="1"/>
    <xf numFmtId="0" fontId="8" fillId="16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12" fillId="17" borderId="0" xfId="0" applyFont="1" applyFill="1" applyAlignment="1">
      <alignment horizontal="center"/>
    </xf>
    <xf numFmtId="0" fontId="4" fillId="0" borderId="5" xfId="2"/>
    <xf numFmtId="0" fontId="3" fillId="18" borderId="0" xfId="3"/>
    <xf numFmtId="0" fontId="0" fillId="19" borderId="0" xfId="0" applyFill="1" applyAlignment="1">
      <alignment horizontal="center"/>
    </xf>
    <xf numFmtId="0" fontId="13" fillId="19" borderId="0" xfId="0" applyFont="1" applyFill="1" applyAlignment="1">
      <alignment horizontal="center"/>
    </xf>
    <xf numFmtId="44" fontId="0" fillId="0" borderId="0" xfId="1" applyFont="1"/>
    <xf numFmtId="0" fontId="0" fillId="0" borderId="0" xfId="0" pivotButton="1"/>
    <xf numFmtId="0" fontId="0" fillId="0" borderId="0" xfId="0" applyNumberFormat="1"/>
    <xf numFmtId="0" fontId="0" fillId="20" borderId="0" xfId="0" applyFill="1" applyAlignment="1">
      <alignment horizontal="center"/>
    </xf>
    <xf numFmtId="0" fontId="14" fillId="20" borderId="0" xfId="0" applyFont="1" applyFill="1" applyAlignment="1">
      <alignment horizontal="center"/>
    </xf>
    <xf numFmtId="0" fontId="15" fillId="21" borderId="0" xfId="0" applyFont="1" applyFill="1" applyAlignment="1">
      <alignment horizontal="center"/>
    </xf>
    <xf numFmtId="0" fontId="16" fillId="21" borderId="0" xfId="0" applyFont="1" applyFill="1" applyAlignment="1">
      <alignment horizontal="center"/>
    </xf>
    <xf numFmtId="0" fontId="0" fillId="0" borderId="0" xfId="0" applyAlignment="1">
      <alignment horizontal="left"/>
    </xf>
  </cellXfs>
  <cellStyles count="4">
    <cellStyle name="Currency" xfId="1" builtinId="4"/>
    <cellStyle name="GrayCell" xfId="3" xr:uid="{67A40403-B26D-4F46-8E20-5C9D48474186}"/>
    <cellStyle name="Heading 3" xfId="2" builtinId="18"/>
    <cellStyle name="Normal" xfId="0" builtinId="0"/>
  </cellStyles>
  <dxfs count="3">
    <dxf>
      <fill>
        <patternFill>
          <bgColor theme="0" tint="-4.9989318521683403E-2"/>
        </patternFill>
      </fill>
    </dxf>
    <dxf>
      <font>
        <color theme="0"/>
      </font>
      <fill>
        <patternFill>
          <bgColor rgb="FF339966"/>
        </patternFill>
      </fill>
    </dxf>
    <dxf>
      <border outline="0">
        <bottom style="medium">
          <color theme="4" tint="0.39997558519241921"/>
        </bottom>
      </border>
    </dxf>
  </dxfs>
  <tableStyles count="2" defaultTableStyle="TableStyleMedium2" defaultPivotStyle="PivotStyleLight16">
    <tableStyle name="CustomTableStyle" pivot="0" count="2" xr9:uid="{2D6B012A-14C5-409A-ADA0-0A96BAEE06E4}">
      <tableStyleElement type="headerRow" dxfId="1"/>
      <tableStyleElement type="firstRowStripe" dxfId="0"/>
    </tableStyle>
    <tableStyle name="Invisible" pivot="0" table="0" count="0" xr9:uid="{5D4DD8FE-E48C-4204-86F5-5AAC35FA0A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[intro-to-excel.xlsx]Graph_for_table!PivotTable13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 of Dec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Graph_for_table!$B$3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Graph_for_table!$A$4:$A$12</c:f>
              <c:strCache>
                <c:ptCount val="9"/>
                <c:pt idx="0">
                  <c:v>Beef</c:v>
                </c:pt>
                <c:pt idx="1">
                  <c:v>Breads</c:v>
                </c:pt>
                <c:pt idx="2">
                  <c:v>Chicken</c:v>
                </c:pt>
                <c:pt idx="3">
                  <c:v>Desserts</c:v>
                </c:pt>
                <c:pt idx="4">
                  <c:v>Fruit</c:v>
                </c:pt>
                <c:pt idx="5">
                  <c:v>Salads</c:v>
                </c:pt>
                <c:pt idx="6">
                  <c:v>Sandwich</c:v>
                </c:pt>
                <c:pt idx="7">
                  <c:v>Veggies</c:v>
                </c:pt>
                <c:pt idx="8">
                  <c:v>(blank)</c:v>
                </c:pt>
              </c:strCache>
            </c:strRef>
          </c:cat>
          <c:val>
            <c:numRef>
              <c:f>Graph_for_table!$B$4:$B$12</c:f>
              <c:numCache>
                <c:formatCode>General</c:formatCode>
                <c:ptCount val="9"/>
                <c:pt idx="0">
                  <c:v>200000</c:v>
                </c:pt>
                <c:pt idx="1">
                  <c:v>20000</c:v>
                </c:pt>
                <c:pt idx="2">
                  <c:v>150000</c:v>
                </c:pt>
                <c:pt idx="3">
                  <c:v>120000</c:v>
                </c:pt>
                <c:pt idx="4">
                  <c:v>40000</c:v>
                </c:pt>
                <c:pt idx="5">
                  <c:v>25000</c:v>
                </c:pt>
                <c:pt idx="6">
                  <c:v>20000</c:v>
                </c:pt>
                <c:pt idx="7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9-4036-95A0-6A7192B6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4437056"/>
        <c:axId val="1544437536"/>
      </c:barChart>
      <c:catAx>
        <c:axId val="154443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37536"/>
        <c:crosses val="autoZero"/>
        <c:auto val="1"/>
        <c:lblAlgn val="ctr"/>
        <c:lblOffset val="100"/>
        <c:noMultiLvlLbl val="0"/>
      </c:catAx>
      <c:valAx>
        <c:axId val="154443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3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Hack!$Y$51</c:f>
              <c:strCache>
                <c:ptCount val="1"/>
                <c:pt idx="0">
                  <c:v>Conference attendance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Hack!$X$52:$X$57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xVal>
          <c:yVal>
            <c:numRef>
              <c:f>Hack!$Y$52:$Y$57</c:f>
              <c:numCache>
                <c:formatCode>General</c:formatCode>
                <c:ptCount val="6"/>
                <c:pt idx="0">
                  <c:v>500</c:v>
                </c:pt>
                <c:pt idx="1">
                  <c:v>800</c:v>
                </c:pt>
                <c:pt idx="2">
                  <c:v>1000</c:v>
                </c:pt>
                <c:pt idx="3">
                  <c:v>900</c:v>
                </c:pt>
                <c:pt idx="4">
                  <c:v>1000</c:v>
                </c:pt>
                <c:pt idx="5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4D-45F3-B125-C2CDBBD7D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498496"/>
        <c:axId val="1544494656"/>
      </c:scatterChart>
      <c:valAx>
        <c:axId val="154449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94656"/>
        <c:crosses val="autoZero"/>
        <c:crossBetween val="midCat"/>
      </c:valAx>
      <c:valAx>
        <c:axId val="154449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98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Hack!$V$64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Hack!$V$65:$V$70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6-4399-B5B3-13569FBD4E3B}"/>
            </c:ext>
          </c:extLst>
        </c:ser>
        <c:ser>
          <c:idx val="1"/>
          <c:order val="1"/>
          <c:tx>
            <c:strRef>
              <c:f>Hack!$W$64</c:f>
              <c:strCache>
                <c:ptCount val="1"/>
                <c:pt idx="0">
                  <c:v>Conference attendance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Hack!$W$65:$W$70</c:f>
              <c:numCache>
                <c:formatCode>General</c:formatCode>
                <c:ptCount val="6"/>
                <c:pt idx="0">
                  <c:v>500</c:v>
                </c:pt>
                <c:pt idx="1">
                  <c:v>800</c:v>
                </c:pt>
                <c:pt idx="2">
                  <c:v>1000</c:v>
                </c:pt>
                <c:pt idx="3">
                  <c:v>900</c:v>
                </c:pt>
                <c:pt idx="4">
                  <c:v>1000</c:v>
                </c:pt>
                <c:pt idx="5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46-4399-B5B3-13569FBD4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465376"/>
        <c:axId val="1544471616"/>
      </c:areaChart>
      <c:barChart>
        <c:barDir val="col"/>
        <c:grouping val="clustered"/>
        <c:varyColors val="0"/>
        <c:ser>
          <c:idx val="2"/>
          <c:order val="2"/>
          <c:tx>
            <c:strRef>
              <c:f>Hack!$X$64</c:f>
              <c:strCache>
                <c:ptCount val="1"/>
                <c:pt idx="0">
                  <c:v>Food sales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Hack!$X$65:$X$70</c:f>
              <c:numCache>
                <c:formatCode>General</c:formatCode>
                <c:ptCount val="6"/>
                <c:pt idx="0">
                  <c:v>5000</c:v>
                </c:pt>
                <c:pt idx="1">
                  <c:v>11200</c:v>
                </c:pt>
                <c:pt idx="2">
                  <c:v>30000</c:v>
                </c:pt>
                <c:pt idx="3">
                  <c:v>25000</c:v>
                </c:pt>
                <c:pt idx="4">
                  <c:v>5000</c:v>
                </c:pt>
                <c:pt idx="5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46-4399-B5B3-13569FBD4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4459136"/>
        <c:axId val="1544463936"/>
      </c:barChart>
      <c:catAx>
        <c:axId val="1544465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71616"/>
        <c:crosses val="autoZero"/>
        <c:auto val="1"/>
        <c:lblAlgn val="ctr"/>
        <c:lblOffset val="100"/>
        <c:noMultiLvlLbl val="0"/>
      </c:catAx>
      <c:valAx>
        <c:axId val="154447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65376"/>
        <c:crosses val="autoZero"/>
        <c:crossBetween val="between"/>
      </c:valAx>
      <c:valAx>
        <c:axId val="15444639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544459136"/>
        <c:crosses val="max"/>
        <c:crossBetween val="between"/>
      </c:valAx>
      <c:catAx>
        <c:axId val="1544459136"/>
        <c:scaling>
          <c:orientation val="minMax"/>
        </c:scaling>
        <c:delete val="1"/>
        <c:axPos val="b"/>
        <c:majorTickMark val="out"/>
        <c:minorTickMark val="none"/>
        <c:tickLblPos val="nextTo"/>
        <c:crossAx val="154446393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541020</xdr:colOff>
      <xdr:row>4</xdr:row>
      <xdr:rowOff>11430</xdr:rowOff>
    </xdr:from>
    <xdr:to>
      <xdr:col>11</xdr:col>
      <xdr:colOff>236220</xdr:colOff>
      <xdr:row>19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7E0611-65A9-4BE2-60D4-363CE7249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495300</xdr:colOff>
      <xdr:row>49</xdr:row>
      <xdr:rowOff>118110</xdr:rowOff>
    </xdr:from>
    <xdr:to>
      <xdr:col>31</xdr:col>
      <xdr:colOff>533400</xdr:colOff>
      <xdr:row>64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0D3894-68FC-2187-81B8-9320D1F26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53340</xdr:colOff>
      <xdr:row>67</xdr:row>
      <xdr:rowOff>163830</xdr:rowOff>
    </xdr:from>
    <xdr:to>
      <xdr:col>29</xdr:col>
      <xdr:colOff>434340</xdr:colOff>
      <xdr:row>81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6639F4-DE11-BB66-313E-B002C47E8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elcome%20to%20Excel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"/>
      <sheetName val="1. Add"/>
      <sheetName val="2. Fill"/>
      <sheetName val="3. Split"/>
      <sheetName val="4. Transpose"/>
      <sheetName val="5. Sort &amp; filter"/>
      <sheetName val="6. Tables"/>
      <sheetName val="7. Drop-downs"/>
      <sheetName val="8. Analyze"/>
      <sheetName val="9. Charts"/>
      <sheetName val="10. PivotTables"/>
      <sheetName val="Learn more"/>
    </sheetNames>
    <definedNames>
      <definedName name="ExtraCredit" refersTo="='1. Add'!$F$10:$G$15"/>
      <definedName name="Fruit" refersTo="='1. Add'!$C$3:$D$7"/>
      <definedName name="Items" refersTo="='1. Add'!$C$10:$D$15"/>
      <definedName name="Meat" refersTo="='1. Add'!$F$3:$G$7"/>
    </definedNames>
    <sheetDataSet>
      <sheetData sheetId="0"/>
      <sheetData sheetId="1">
        <row r="3">
          <cell r="C3" t="str">
            <v>Fruit</v>
          </cell>
          <cell r="D3" t="str">
            <v>Amount</v>
          </cell>
          <cell r="F3" t="str">
            <v>Meat</v>
          </cell>
          <cell r="G3" t="str">
            <v>Amount</v>
          </cell>
        </row>
        <row r="4">
          <cell r="C4" t="str">
            <v>Apples</v>
          </cell>
          <cell r="D4">
            <v>50</v>
          </cell>
          <cell r="F4" t="str">
            <v>Beef</v>
          </cell>
          <cell r="G4">
            <v>50</v>
          </cell>
        </row>
        <row r="5">
          <cell r="C5" t="str">
            <v>Oranges</v>
          </cell>
          <cell r="D5">
            <v>20</v>
          </cell>
          <cell r="F5" t="str">
            <v>Chicken</v>
          </cell>
          <cell r="G5">
            <v>30</v>
          </cell>
        </row>
        <row r="6">
          <cell r="C6" t="str">
            <v>Bananas</v>
          </cell>
          <cell r="D6">
            <v>60</v>
          </cell>
          <cell r="F6" t="str">
            <v>Pork</v>
          </cell>
          <cell r="G6">
            <v>10</v>
          </cell>
        </row>
        <row r="7">
          <cell r="C7" t="str">
            <v>Lemons</v>
          </cell>
          <cell r="D7">
            <v>40</v>
          </cell>
          <cell r="F7" t="str">
            <v>Fish</v>
          </cell>
          <cell r="G7">
            <v>50</v>
          </cell>
        </row>
        <row r="10">
          <cell r="C10" t="str">
            <v>Item</v>
          </cell>
          <cell r="D10" t="str">
            <v>Amount</v>
          </cell>
          <cell r="F10" t="str">
            <v>Item</v>
          </cell>
          <cell r="G10" t="str">
            <v>Amount</v>
          </cell>
        </row>
        <row r="11">
          <cell r="C11" t="str">
            <v>Bread</v>
          </cell>
          <cell r="D11">
            <v>50</v>
          </cell>
          <cell r="F11" t="str">
            <v>Bread</v>
          </cell>
          <cell r="G11">
            <v>50</v>
          </cell>
        </row>
        <row r="12">
          <cell r="C12" t="str">
            <v>Donuts</v>
          </cell>
          <cell r="D12">
            <v>100</v>
          </cell>
          <cell r="F12" t="str">
            <v>Donuts</v>
          </cell>
          <cell r="G12">
            <v>100</v>
          </cell>
        </row>
        <row r="13">
          <cell r="C13" t="str">
            <v>Cookies</v>
          </cell>
          <cell r="D13">
            <v>40</v>
          </cell>
          <cell r="F13" t="str">
            <v>Cookies</v>
          </cell>
          <cell r="G13">
            <v>40</v>
          </cell>
        </row>
        <row r="14">
          <cell r="C14" t="str">
            <v>Cakes</v>
          </cell>
          <cell r="D14">
            <v>50</v>
          </cell>
          <cell r="F14" t="str">
            <v>Cakes</v>
          </cell>
          <cell r="G14">
            <v>50</v>
          </cell>
        </row>
        <row r="15">
          <cell r="C15" t="str">
            <v>Pies</v>
          </cell>
          <cell r="D15">
            <v>20</v>
          </cell>
          <cell r="F15" t="str">
            <v>Pies</v>
          </cell>
          <cell r="G15">
            <v>20</v>
          </cell>
        </row>
      </sheetData>
      <sheetData sheetId="2">
        <row r="3">
          <cell r="C3" t="str">
            <v>This:</v>
          </cell>
          <cell r="D3" t="str">
            <v>Plus this:</v>
          </cell>
          <cell r="E3" t="str">
            <v>Equals:</v>
          </cell>
          <cell r="F3" t="str">
            <v>Plus this:</v>
          </cell>
          <cell r="G3" t="str">
            <v>Equals:</v>
          </cell>
        </row>
        <row r="4">
          <cell r="C4">
            <v>50</v>
          </cell>
          <cell r="D4">
            <v>50</v>
          </cell>
          <cell r="E4">
            <v>100</v>
          </cell>
          <cell r="F4">
            <v>75</v>
          </cell>
          <cell r="G4">
            <v>175</v>
          </cell>
        </row>
        <row r="5">
          <cell r="C5">
            <v>50</v>
          </cell>
          <cell r="D5">
            <v>60</v>
          </cell>
          <cell r="E5">
            <v>110</v>
          </cell>
          <cell r="F5">
            <v>75</v>
          </cell>
          <cell r="G5">
            <v>185</v>
          </cell>
        </row>
        <row r="6">
          <cell r="C6">
            <v>50</v>
          </cell>
          <cell r="D6">
            <v>70</v>
          </cell>
          <cell r="E6">
            <v>120</v>
          </cell>
          <cell r="F6">
            <v>75</v>
          </cell>
          <cell r="G6">
            <v>195</v>
          </cell>
        </row>
        <row r="7">
          <cell r="C7">
            <v>50</v>
          </cell>
          <cell r="D7">
            <v>80</v>
          </cell>
          <cell r="E7">
            <v>130</v>
          </cell>
          <cell r="F7">
            <v>75</v>
          </cell>
          <cell r="G7">
            <v>205</v>
          </cell>
        </row>
        <row r="10">
          <cell r="C10" t="str">
            <v>This:</v>
          </cell>
          <cell r="D10" t="str">
            <v>Plus this:</v>
          </cell>
          <cell r="E10" t="str">
            <v>Equals:</v>
          </cell>
          <cell r="F10" t="str">
            <v>Plus this:</v>
          </cell>
          <cell r="G10" t="str">
            <v>Equals:</v>
          </cell>
        </row>
        <row r="11">
          <cell r="C11">
            <v>50</v>
          </cell>
          <cell r="D11">
            <v>50</v>
          </cell>
          <cell r="E11">
            <v>100</v>
          </cell>
          <cell r="F11">
            <v>75</v>
          </cell>
          <cell r="G11">
            <v>175</v>
          </cell>
        </row>
        <row r="12">
          <cell r="C12">
            <v>50</v>
          </cell>
          <cell r="D12">
            <v>60</v>
          </cell>
          <cell r="E12">
            <v>110</v>
          </cell>
          <cell r="F12">
            <v>75</v>
          </cell>
          <cell r="G12">
            <v>185</v>
          </cell>
        </row>
        <row r="13">
          <cell r="C13">
            <v>50</v>
          </cell>
          <cell r="D13">
            <v>70</v>
          </cell>
          <cell r="E13">
            <v>120</v>
          </cell>
          <cell r="F13">
            <v>75</v>
          </cell>
          <cell r="G13">
            <v>195</v>
          </cell>
        </row>
        <row r="14">
          <cell r="C14">
            <v>50</v>
          </cell>
          <cell r="D14">
            <v>80</v>
          </cell>
          <cell r="E14">
            <v>130</v>
          </cell>
          <cell r="F14">
            <v>75</v>
          </cell>
          <cell r="G14">
            <v>205</v>
          </cell>
        </row>
        <row r="15">
          <cell r="C15">
            <v>200</v>
          </cell>
          <cell r="D15">
            <v>260</v>
          </cell>
          <cell r="E15">
            <v>460</v>
          </cell>
          <cell r="F15">
            <v>300</v>
          </cell>
          <cell r="G15">
            <v>760</v>
          </cell>
        </row>
        <row r="33">
          <cell r="C33" t="str">
            <v>Dept.</v>
          </cell>
          <cell r="D33" t="str">
            <v>Category</v>
          </cell>
          <cell r="E33" t="str">
            <v>Product</v>
          </cell>
          <cell r="F33" t="str">
            <v>Count</v>
          </cell>
        </row>
        <row r="34">
          <cell r="C34" t="str">
            <v>Produce</v>
          </cell>
          <cell r="D34" t="str">
            <v>Fruit</v>
          </cell>
          <cell r="E34" t="str">
            <v>Apple</v>
          </cell>
          <cell r="F34">
            <v>100</v>
          </cell>
        </row>
        <row r="35">
          <cell r="C35" t="str">
            <v>Produce</v>
          </cell>
          <cell r="D35" t="str">
            <v>Fruit</v>
          </cell>
          <cell r="E35" t="str">
            <v>Orange</v>
          </cell>
          <cell r="F35">
            <v>200</v>
          </cell>
        </row>
        <row r="36">
          <cell r="C36" t="str">
            <v>Produce</v>
          </cell>
          <cell r="D36" t="str">
            <v>Fruit</v>
          </cell>
          <cell r="E36" t="str">
            <v>Banana</v>
          </cell>
          <cell r="F36">
            <v>50</v>
          </cell>
        </row>
        <row r="37">
          <cell r="C37" t="str">
            <v>Produce</v>
          </cell>
          <cell r="D37" t="str">
            <v>Fruit</v>
          </cell>
          <cell r="E37" t="str">
            <v>Pears</v>
          </cell>
          <cell r="F37">
            <v>100</v>
          </cell>
        </row>
        <row r="47">
          <cell r="H47" t="str">
            <v>Qrtr 1</v>
          </cell>
        </row>
        <row r="48">
          <cell r="H48" t="str">
            <v>Qrtr 2</v>
          </cell>
        </row>
        <row r="49">
          <cell r="H49" t="str">
            <v>Qrtr 3</v>
          </cell>
        </row>
        <row r="50">
          <cell r="H50" t="str">
            <v>Qrtr 4</v>
          </cell>
        </row>
        <row r="60">
          <cell r="C60" t="str">
            <v>Intervals</v>
          </cell>
        </row>
        <row r="61">
          <cell r="C61">
            <v>15</v>
          </cell>
          <cell r="D61">
            <v>30</v>
          </cell>
          <cell r="E61">
            <v>45</v>
          </cell>
          <cell r="F61">
            <v>60</v>
          </cell>
          <cell r="G61">
            <v>75</v>
          </cell>
          <cell r="H61">
            <v>90</v>
          </cell>
        </row>
      </sheetData>
      <sheetData sheetId="3">
        <row r="4">
          <cell r="C4" t="str">
            <v>Email</v>
          </cell>
          <cell r="D4" t="str">
            <v>First name</v>
          </cell>
          <cell r="E4" t="str">
            <v>Last name</v>
          </cell>
        </row>
        <row r="5">
          <cell r="C5" t="str">
            <v>Nancy.Smith@contoso.com</v>
          </cell>
          <cell r="D5" t="str">
            <v>Nancy</v>
          </cell>
          <cell r="E5" t="str">
            <v>Smith</v>
          </cell>
        </row>
        <row r="6">
          <cell r="C6" t="str">
            <v>Andy.North@fabrikam.com</v>
          </cell>
          <cell r="D6" t="str">
            <v>Andy</v>
          </cell>
          <cell r="E6" t="str">
            <v>North</v>
          </cell>
        </row>
        <row r="7">
          <cell r="C7" t="str">
            <v>Jan.Kotas@relecloud.com</v>
          </cell>
          <cell r="D7" t="str">
            <v>Jan</v>
          </cell>
          <cell r="E7" t="str">
            <v>Kotas</v>
          </cell>
        </row>
        <row r="8">
          <cell r="C8" t="str">
            <v>Mariya.Jones@contoso.com</v>
          </cell>
          <cell r="D8" t="str">
            <v>Mariya</v>
          </cell>
          <cell r="E8" t="str">
            <v>Jones</v>
          </cell>
        </row>
        <row r="9">
          <cell r="C9" t="str">
            <v xml:space="preserve">Yvonne.McKay@fabrikam.com </v>
          </cell>
          <cell r="D9" t="str">
            <v>Yvonne</v>
          </cell>
          <cell r="E9" t="str">
            <v>McKay</v>
          </cell>
        </row>
        <row r="31">
          <cell r="C31" t="str">
            <v>Data</v>
          </cell>
          <cell r="D31" t="str">
            <v>First name</v>
          </cell>
          <cell r="E31" t="str">
            <v>Last name</v>
          </cell>
          <cell r="F31" t="str">
            <v>Company name</v>
          </cell>
        </row>
        <row r="32">
          <cell r="C32" t="str">
            <v>Nancy,Smith,Contoso Ltd.</v>
          </cell>
          <cell r="D32" t="str">
            <v>Nancy</v>
          </cell>
          <cell r="E32" t="str">
            <v>Smith</v>
          </cell>
          <cell r="F32" t="str">
            <v>Contoso Ltd.</v>
          </cell>
        </row>
        <row r="33">
          <cell r="C33" t="str">
            <v>Andy,North,Fabrikam Inc.</v>
          </cell>
          <cell r="D33" t="str">
            <v>Andy</v>
          </cell>
          <cell r="E33" t="str">
            <v>North</v>
          </cell>
          <cell r="F33" t="str">
            <v>Fabrikam Inc.</v>
          </cell>
        </row>
        <row r="34">
          <cell r="C34" t="str">
            <v>Jan,Kotas,Relecloud</v>
          </cell>
          <cell r="D34" t="str">
            <v>Jan</v>
          </cell>
          <cell r="E34" t="str">
            <v>Kotas</v>
          </cell>
          <cell r="F34" t="str">
            <v>Relecloud</v>
          </cell>
        </row>
        <row r="35">
          <cell r="C35" t="str">
            <v>Mariya,Jones,Contoso Ltd.</v>
          </cell>
          <cell r="D35" t="str">
            <v>Mariya</v>
          </cell>
          <cell r="E35" t="str">
            <v>Jones</v>
          </cell>
          <cell r="F35" t="str">
            <v>Contoso Ltd.</v>
          </cell>
        </row>
        <row r="36">
          <cell r="C36" t="str">
            <v>Steven,Thorpe,Relecloud</v>
          </cell>
          <cell r="D36" t="str">
            <v>Steven</v>
          </cell>
          <cell r="E36" t="str">
            <v>Thorpe</v>
          </cell>
          <cell r="F36" t="str">
            <v>Relecloud</v>
          </cell>
        </row>
        <row r="37">
          <cell r="C37" t="str">
            <v>Michael,Neipper,Fabrikam Inc.</v>
          </cell>
          <cell r="D37" t="str">
            <v>Michael</v>
          </cell>
          <cell r="E37" t="str">
            <v>Neipper</v>
          </cell>
          <cell r="F37" t="str">
            <v>Fabrikam Inc.</v>
          </cell>
        </row>
        <row r="38">
          <cell r="C38" t="str">
            <v>Robert,Zare,Relecloud</v>
          </cell>
          <cell r="D38" t="str">
            <v>Robert</v>
          </cell>
          <cell r="E38" t="str">
            <v>Zare</v>
          </cell>
          <cell r="F38" t="str">
            <v>Relecloud</v>
          </cell>
        </row>
        <row r="39">
          <cell r="C39" t="str">
            <v>Yvonne,McKay,Contoso Ltd.</v>
          </cell>
          <cell r="D39" t="str">
            <v>Yvonne</v>
          </cell>
          <cell r="E39" t="str">
            <v>McKay</v>
          </cell>
          <cell r="F39" t="str">
            <v>Contoso Ltd.</v>
          </cell>
        </row>
      </sheetData>
      <sheetData sheetId="4">
        <row r="5">
          <cell r="C5" t="str">
            <v>Item</v>
          </cell>
          <cell r="D5" t="str">
            <v>Bread</v>
          </cell>
          <cell r="E5" t="str">
            <v>Donuts</v>
          </cell>
          <cell r="F5" t="str">
            <v>Cookies</v>
          </cell>
          <cell r="G5" t="str">
            <v>Cakes</v>
          </cell>
          <cell r="H5" t="str">
            <v>Pies</v>
          </cell>
        </row>
        <row r="6">
          <cell r="C6" t="str">
            <v>Amount</v>
          </cell>
          <cell r="D6">
            <v>50</v>
          </cell>
          <cell r="E6">
            <v>100</v>
          </cell>
          <cell r="F6">
            <v>40</v>
          </cell>
          <cell r="G6">
            <v>50</v>
          </cell>
          <cell r="H6">
            <v>20</v>
          </cell>
        </row>
        <row r="10">
          <cell r="C10" t="str">
            <v>Bread</v>
          </cell>
          <cell r="D10">
            <v>50</v>
          </cell>
        </row>
        <row r="11">
          <cell r="C11" t="str">
            <v>Donuts</v>
          </cell>
          <cell r="D11">
            <v>100</v>
          </cell>
        </row>
        <row r="12">
          <cell r="C12" t="str">
            <v>Cookies</v>
          </cell>
          <cell r="D12">
            <v>40</v>
          </cell>
        </row>
        <row r="13">
          <cell r="C13" t="str">
            <v>Cakes</v>
          </cell>
          <cell r="D13">
            <v>50</v>
          </cell>
        </row>
        <row r="14">
          <cell r="C14" t="str">
            <v>Pies</v>
          </cell>
          <cell r="D14">
            <v>20</v>
          </cell>
        </row>
      </sheetData>
      <sheetData sheetId="5">
        <row r="5">
          <cell r="C5" t="str">
            <v>Department</v>
          </cell>
          <cell r="D5" t="str">
            <v>Category</v>
          </cell>
          <cell r="E5" t="str">
            <v>Oct</v>
          </cell>
          <cell r="F5" t="str">
            <v>Nov</v>
          </cell>
          <cell r="G5" t="str">
            <v>Dec</v>
          </cell>
        </row>
        <row r="6">
          <cell r="C6" t="str">
            <v>Meat</v>
          </cell>
          <cell r="D6" t="str">
            <v>Chicken</v>
          </cell>
          <cell r="E6">
            <v>75000</v>
          </cell>
          <cell r="F6">
            <v>82000</v>
          </cell>
          <cell r="G6">
            <v>2000000</v>
          </cell>
        </row>
        <row r="7">
          <cell r="C7" t="str">
            <v>Bakery</v>
          </cell>
          <cell r="D7" t="str">
            <v>Desserts</v>
          </cell>
          <cell r="E7">
            <v>25000</v>
          </cell>
          <cell r="F7">
            <v>80000</v>
          </cell>
          <cell r="G7">
            <v>120000</v>
          </cell>
        </row>
        <row r="8">
          <cell r="C8" t="str">
            <v>Meat</v>
          </cell>
          <cell r="D8" t="str">
            <v>Beef</v>
          </cell>
          <cell r="E8">
            <v>90000</v>
          </cell>
          <cell r="F8">
            <v>110000</v>
          </cell>
          <cell r="G8">
            <v>120000</v>
          </cell>
        </row>
        <row r="9">
          <cell r="C9" t="str">
            <v>Produce</v>
          </cell>
          <cell r="D9" t="str">
            <v>Fruit</v>
          </cell>
          <cell r="E9">
            <v>10000</v>
          </cell>
          <cell r="F9">
            <v>30000</v>
          </cell>
          <cell r="G9">
            <v>40000</v>
          </cell>
        </row>
        <row r="10">
          <cell r="C10" t="str">
            <v>Produce</v>
          </cell>
          <cell r="D10" t="str">
            <v>Veggies</v>
          </cell>
          <cell r="E10">
            <v>30000</v>
          </cell>
          <cell r="F10">
            <v>80000</v>
          </cell>
          <cell r="G10">
            <v>30000</v>
          </cell>
        </row>
        <row r="11">
          <cell r="C11" t="str">
            <v>Deli</v>
          </cell>
          <cell r="D11" t="str">
            <v>Salads</v>
          </cell>
          <cell r="E11">
            <v>90000</v>
          </cell>
          <cell r="F11">
            <v>35000</v>
          </cell>
          <cell r="G11">
            <v>25000</v>
          </cell>
        </row>
        <row r="12">
          <cell r="C12" t="str">
            <v>Bakery</v>
          </cell>
          <cell r="D12" t="str">
            <v>Breads</v>
          </cell>
          <cell r="E12">
            <v>30000</v>
          </cell>
          <cell r="F12">
            <v>15000</v>
          </cell>
          <cell r="G12">
            <v>20000</v>
          </cell>
        </row>
        <row r="13">
          <cell r="C13" t="str">
            <v>Deli</v>
          </cell>
          <cell r="D13" t="str">
            <v>Sandwiches</v>
          </cell>
          <cell r="E13">
            <v>80000</v>
          </cell>
          <cell r="F13">
            <v>40000</v>
          </cell>
          <cell r="G13">
            <v>20000</v>
          </cell>
        </row>
        <row r="49">
          <cell r="C49" t="str">
            <v>Expense date</v>
          </cell>
          <cell r="D49" t="str">
            <v>Employee</v>
          </cell>
          <cell r="E49" t="str">
            <v>Food</v>
          </cell>
          <cell r="F49" t="str">
            <v>Hotel</v>
          </cell>
        </row>
        <row r="50">
          <cell r="C50">
            <v>46037</v>
          </cell>
          <cell r="D50" t="str">
            <v>Jackie</v>
          </cell>
          <cell r="E50">
            <v>21</v>
          </cell>
          <cell r="F50">
            <v>3820</v>
          </cell>
        </row>
        <row r="51">
          <cell r="C51">
            <v>46036</v>
          </cell>
          <cell r="D51" t="str">
            <v>Mark</v>
          </cell>
          <cell r="E51">
            <v>62</v>
          </cell>
          <cell r="F51">
            <v>2112</v>
          </cell>
        </row>
        <row r="52">
          <cell r="C52">
            <v>46039</v>
          </cell>
          <cell r="D52" t="str">
            <v>Tricia</v>
          </cell>
          <cell r="E52">
            <v>30</v>
          </cell>
          <cell r="F52">
            <v>3085</v>
          </cell>
        </row>
        <row r="53">
          <cell r="C53">
            <v>46033</v>
          </cell>
          <cell r="D53" t="str">
            <v>Dave</v>
          </cell>
          <cell r="E53">
            <v>25</v>
          </cell>
          <cell r="F53">
            <v>1611</v>
          </cell>
        </row>
        <row r="54">
          <cell r="C54">
            <v>46034</v>
          </cell>
          <cell r="D54" t="str">
            <v>Laura</v>
          </cell>
          <cell r="E54">
            <v>45</v>
          </cell>
          <cell r="F54">
            <v>5050</v>
          </cell>
        </row>
      </sheetData>
      <sheetData sheetId="6">
        <row r="5">
          <cell r="C5" t="str">
            <v>Department</v>
          </cell>
          <cell r="D5" t="str">
            <v>Category</v>
          </cell>
          <cell r="E5" t="str">
            <v>Oct</v>
          </cell>
          <cell r="F5" t="str">
            <v>Nov</v>
          </cell>
          <cell r="G5" t="str">
            <v>Dec</v>
          </cell>
        </row>
        <row r="6">
          <cell r="C6" t="str">
            <v>Produce</v>
          </cell>
          <cell r="D6" t="str">
            <v>Veggies</v>
          </cell>
          <cell r="E6">
            <v>30000</v>
          </cell>
          <cell r="F6">
            <v>80000</v>
          </cell>
          <cell r="G6">
            <v>30000</v>
          </cell>
        </row>
        <row r="7">
          <cell r="C7" t="str">
            <v>Produce</v>
          </cell>
          <cell r="D7" t="str">
            <v>Fruit</v>
          </cell>
          <cell r="E7">
            <v>10000</v>
          </cell>
          <cell r="F7">
            <v>30000</v>
          </cell>
          <cell r="G7">
            <v>40000</v>
          </cell>
        </row>
        <row r="8">
          <cell r="C8" t="str">
            <v>Bakery</v>
          </cell>
          <cell r="D8" t="str">
            <v>Breads</v>
          </cell>
          <cell r="E8">
            <v>30000</v>
          </cell>
          <cell r="F8">
            <v>15000</v>
          </cell>
          <cell r="G8">
            <v>20000</v>
          </cell>
        </row>
        <row r="9">
          <cell r="C9" t="str">
            <v>Bakery</v>
          </cell>
          <cell r="D9" t="str">
            <v>Desserts</v>
          </cell>
          <cell r="E9">
            <v>25000</v>
          </cell>
          <cell r="F9">
            <v>80000</v>
          </cell>
          <cell r="G9">
            <v>120000</v>
          </cell>
        </row>
        <row r="10">
          <cell r="C10" t="str">
            <v>Deli</v>
          </cell>
          <cell r="D10" t="str">
            <v>Sandwich</v>
          </cell>
          <cell r="E10">
            <v>80000</v>
          </cell>
          <cell r="F10">
            <v>40000</v>
          </cell>
          <cell r="G10">
            <v>20000</v>
          </cell>
        </row>
        <row r="11">
          <cell r="C11" t="str">
            <v>Deli</v>
          </cell>
          <cell r="D11" t="str">
            <v>Salads</v>
          </cell>
          <cell r="E11">
            <v>90000</v>
          </cell>
          <cell r="F11">
            <v>35000</v>
          </cell>
          <cell r="G11">
            <v>25000</v>
          </cell>
        </row>
        <row r="12">
          <cell r="C12" t="str">
            <v>Meat</v>
          </cell>
          <cell r="D12" t="str">
            <v>Beef</v>
          </cell>
          <cell r="E12">
            <v>90000</v>
          </cell>
          <cell r="F12">
            <v>110000</v>
          </cell>
          <cell r="G12">
            <v>200000</v>
          </cell>
        </row>
        <row r="13">
          <cell r="C13" t="str">
            <v>Meat</v>
          </cell>
          <cell r="D13" t="str">
            <v>Chicken</v>
          </cell>
          <cell r="E13">
            <v>75000</v>
          </cell>
          <cell r="F13">
            <v>82000</v>
          </cell>
          <cell r="G13">
            <v>150000</v>
          </cell>
        </row>
        <row r="14">
          <cell r="C14" t="str">
            <v>rice</v>
          </cell>
        </row>
      </sheetData>
      <sheetData sheetId="7">
        <row r="3">
          <cell r="C3" t="str">
            <v>Food</v>
          </cell>
          <cell r="D3" t="str">
            <v>Department</v>
          </cell>
        </row>
        <row r="4">
          <cell r="C4" t="str">
            <v>Apples</v>
          </cell>
        </row>
        <row r="5">
          <cell r="C5" t="str">
            <v>Beef</v>
          </cell>
        </row>
        <row r="6">
          <cell r="C6" t="str">
            <v>Bananas</v>
          </cell>
        </row>
        <row r="7">
          <cell r="C7" t="str">
            <v>Lemons</v>
          </cell>
        </row>
        <row r="8">
          <cell r="C8" t="str">
            <v>Broccoli</v>
          </cell>
        </row>
        <row r="9">
          <cell r="C9" t="str">
            <v>Kale</v>
          </cell>
        </row>
        <row r="10">
          <cell r="C10" t="str">
            <v>Ham</v>
          </cell>
        </row>
        <row r="11">
          <cell r="C11" t="str">
            <v>Bread</v>
          </cell>
        </row>
        <row r="12">
          <cell r="C12" t="str">
            <v>Chicken</v>
          </cell>
        </row>
        <row r="13">
          <cell r="C13" t="str">
            <v>Cookies</v>
          </cell>
        </row>
        <row r="14">
          <cell r="C14" t="str">
            <v>Cakes</v>
          </cell>
        </row>
        <row r="15">
          <cell r="C15" t="str">
            <v>Pies</v>
          </cell>
        </row>
      </sheetData>
      <sheetData sheetId="8">
        <row r="5">
          <cell r="C5" t="str">
            <v>Department</v>
          </cell>
          <cell r="D5" t="str">
            <v>Category</v>
          </cell>
          <cell r="F5" t="str">
            <v>Nov</v>
          </cell>
          <cell r="G5" t="str">
            <v>Dec</v>
          </cell>
        </row>
        <row r="6">
          <cell r="C6" t="str">
            <v>Produce</v>
          </cell>
          <cell r="D6" t="str">
            <v>Veggies</v>
          </cell>
          <cell r="F6">
            <v>80000</v>
          </cell>
          <cell r="G6">
            <v>30000</v>
          </cell>
        </row>
        <row r="7">
          <cell r="C7" t="str">
            <v>Produce</v>
          </cell>
          <cell r="D7" t="str">
            <v>Fruit</v>
          </cell>
          <cell r="F7">
            <v>30000</v>
          </cell>
          <cell r="G7">
            <v>40000</v>
          </cell>
        </row>
        <row r="10">
          <cell r="C10" t="str">
            <v>Deli</v>
          </cell>
          <cell r="D10" t="str">
            <v>Sandwich</v>
          </cell>
          <cell r="F10">
            <v>40000</v>
          </cell>
          <cell r="G10">
            <v>20000</v>
          </cell>
        </row>
        <row r="11">
          <cell r="C11" t="str">
            <v>Deli</v>
          </cell>
          <cell r="D11" t="str">
            <v>Salads</v>
          </cell>
          <cell r="F11">
            <v>35000</v>
          </cell>
          <cell r="G11">
            <v>25000</v>
          </cell>
        </row>
        <row r="12">
          <cell r="C12" t="str">
            <v>Meat</v>
          </cell>
          <cell r="D12" t="str">
            <v>Beef</v>
          </cell>
          <cell r="F12">
            <v>110000</v>
          </cell>
          <cell r="G12">
            <v>200000</v>
          </cell>
        </row>
        <row r="13">
          <cell r="C13" t="str">
            <v>Meat</v>
          </cell>
          <cell r="D13" t="str">
            <v>Chicken</v>
          </cell>
          <cell r="F13">
            <v>82000</v>
          </cell>
          <cell r="G13">
            <v>150000</v>
          </cell>
        </row>
      </sheetData>
      <sheetData sheetId="9">
        <row r="5">
          <cell r="C5" t="str">
            <v>Year</v>
          </cell>
          <cell r="D5" t="str">
            <v>Conference attendance</v>
          </cell>
        </row>
        <row r="6">
          <cell r="C6">
            <v>2021</v>
          </cell>
          <cell r="D6">
            <v>500</v>
          </cell>
        </row>
        <row r="7">
          <cell r="C7">
            <v>2022</v>
          </cell>
          <cell r="D7">
            <v>800</v>
          </cell>
        </row>
        <row r="10">
          <cell r="C10">
            <v>2025</v>
          </cell>
          <cell r="D10">
            <v>1000</v>
          </cell>
        </row>
        <row r="11">
          <cell r="C11">
            <v>2026</v>
          </cell>
          <cell r="D11">
            <v>1200</v>
          </cell>
        </row>
      </sheetData>
      <sheetData sheetId="10">
        <row r="3">
          <cell r="C3" t="str">
            <v>Date</v>
          </cell>
          <cell r="D3" t="str">
            <v>Salesperson</v>
          </cell>
          <cell r="F3" t="str">
            <v>Amount</v>
          </cell>
        </row>
        <row r="4">
          <cell r="C4">
            <v>45982</v>
          </cell>
          <cell r="D4" t="str">
            <v>Anne</v>
          </cell>
          <cell r="F4">
            <v>1400</v>
          </cell>
        </row>
        <row r="5">
          <cell r="C5">
            <v>45987</v>
          </cell>
          <cell r="D5" t="str">
            <v>Mark</v>
          </cell>
          <cell r="F5">
            <v>1010</v>
          </cell>
        </row>
        <row r="6">
          <cell r="C6">
            <v>46004</v>
          </cell>
          <cell r="D6" t="str">
            <v>Anne</v>
          </cell>
          <cell r="F6">
            <v>750</v>
          </cell>
        </row>
        <row r="7">
          <cell r="C7">
            <v>46008</v>
          </cell>
          <cell r="D7" t="str">
            <v>Mark</v>
          </cell>
          <cell r="F7">
            <v>510</v>
          </cell>
        </row>
        <row r="11">
          <cell r="F11" t="str">
            <v>Sum of Amount</v>
          </cell>
        </row>
        <row r="13">
          <cell r="F13">
            <v>2150</v>
          </cell>
        </row>
        <row r="14">
          <cell r="F14">
            <v>2150</v>
          </cell>
        </row>
      </sheetData>
      <sheetData sheetId="1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TAS" refreshedDate="46039.157231597223" createdVersion="8" refreshedVersion="8" minRefreshableVersion="3" recordCount="10" xr:uid="{5A94F3B7-A217-4624-B43A-93A1695C8200}">
  <cacheSource type="worksheet">
    <worksheetSource name="AnalyzeData"/>
  </cacheSource>
  <cacheFields count="5">
    <cacheField name="Department" numFmtId="0">
      <sharedItems containsBlank="1"/>
    </cacheField>
    <cacheField name="Category" numFmtId="0">
      <sharedItems containsBlank="1" count="9">
        <s v="Breads"/>
        <s v="Sandwich"/>
        <s v="Salads"/>
        <s v="Veggies"/>
        <s v="Fruit"/>
        <s v="Desserts"/>
        <s v="Chicken"/>
        <s v="Beef"/>
        <m/>
      </sharedItems>
    </cacheField>
    <cacheField name="Oct" numFmtId="0">
      <sharedItems containsSemiMixedTypes="0" containsString="0" containsNumber="1" containsInteger="1" minValue="30000" maxValue="30000"/>
    </cacheField>
    <cacheField name="Nov" numFmtId="44">
      <sharedItems containsString="0" containsBlank="1" containsNumber="1" containsInteger="1" minValue="15000" maxValue="110000"/>
    </cacheField>
    <cacheField name="Dec" numFmtId="44">
      <sharedItems containsString="0" containsBlank="1" containsNumber="1" containsInteger="1" minValue="20000" maxValue="2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TAS" refreshedDate="46039.217250578702" createdVersion="8" refreshedVersion="8" minRefreshableVersion="3" recordCount="5" xr:uid="{5F339209-DAB5-41B0-8A8D-13C38FCFD0C4}">
  <cacheSource type="worksheet">
    <worksheetSource ref="V90:Y95" sheet="Hack"/>
  </cacheSource>
  <cacheFields count="4">
    <cacheField name="45982" numFmtId="0">
      <sharedItems containsSemiMixedTypes="0" containsString="0" containsNumber="1" containsInteger="1" minValue="45987" maxValue="46039"/>
    </cacheField>
    <cacheField name="Anne" numFmtId="0">
      <sharedItems count="4">
        <s v="Mark"/>
        <s v="Anne"/>
        <s v="Mariya"/>
        <s v="Laura"/>
      </sharedItems>
    </cacheField>
    <cacheField name="Beer" numFmtId="0">
      <sharedItems count="3">
        <s v="Wine"/>
        <s v="Beer"/>
        <s v="Soda"/>
      </sharedItems>
    </cacheField>
    <cacheField name="1400" numFmtId="0">
      <sharedItems containsSemiMixedTypes="0" containsString="0" containsNumber="1" containsInteger="1" minValue="510" maxValue="1600"/>
    </cacheField>
  </cacheFields>
  <extLst>
    <ext xmlns:x14="http://schemas.microsoft.com/office/spreadsheetml/2009/9/main" uri="{725AE2AE-9491-48be-B2B4-4EB974FC3084}">
      <x14:pivotCacheDefinition/>
    </ext>
    <ext xmlns:xlpds="http://schemas.microsoft.com/office/spreadsheetml/2025/pivotDataSource" uri="{1DE1FBE3-BBE2-450B-8D17-3B53B619325D}">
      <xlpds:pivotCacheDataSource ref="V9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Bakery"/>
    <x v="0"/>
    <n v="30000"/>
    <n v="15000"/>
    <n v="20000"/>
  </r>
  <r>
    <s v="Deli"/>
    <x v="1"/>
    <n v="30000"/>
    <n v="40000"/>
    <n v="20000"/>
  </r>
  <r>
    <s v="Deli"/>
    <x v="2"/>
    <n v="30000"/>
    <n v="35000"/>
    <n v="25000"/>
  </r>
  <r>
    <s v="Produce"/>
    <x v="3"/>
    <n v="30000"/>
    <n v="80000"/>
    <n v="30000"/>
  </r>
  <r>
    <s v="Produce"/>
    <x v="4"/>
    <n v="30000"/>
    <n v="30000"/>
    <n v="40000"/>
  </r>
  <r>
    <s v="Bakery"/>
    <x v="5"/>
    <n v="30000"/>
    <n v="80000"/>
    <n v="120000"/>
  </r>
  <r>
    <s v="Meat"/>
    <x v="6"/>
    <n v="30000"/>
    <n v="82000"/>
    <n v="150000"/>
  </r>
  <r>
    <s v="Meat"/>
    <x v="7"/>
    <n v="30000"/>
    <n v="110000"/>
    <n v="200000"/>
  </r>
  <r>
    <m/>
    <x v="8"/>
    <n v="30000"/>
    <m/>
    <m/>
  </r>
  <r>
    <m/>
    <x v="8"/>
    <n v="30000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45987"/>
    <x v="0"/>
    <x v="0"/>
    <n v="1010"/>
  </r>
  <r>
    <n v="46004"/>
    <x v="1"/>
    <x v="1"/>
    <n v="750"/>
  </r>
  <r>
    <n v="46008"/>
    <x v="0"/>
    <x v="2"/>
    <n v="510"/>
  </r>
  <r>
    <n v="46028"/>
    <x v="2"/>
    <x v="2"/>
    <n v="1600"/>
  </r>
  <r>
    <n v="46039"/>
    <x v="3"/>
    <x v="0"/>
    <n v="6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5FEC23-AF54-4C1C-94BD-9B20AB72BB94}" name="PivotTable13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2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7"/>
        <item x="0"/>
        <item x="6"/>
        <item x="5"/>
        <item x="4"/>
        <item x="2"/>
        <item x="1"/>
        <item x="3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Items count="1">
    <i/>
  </colItems>
  <dataFields count="1">
    <dataField name="Sum of Dec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EEC572-0495-4002-9FB9-9DC2F045095E}" name="PivotTable3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96:X100" firstHeaderRow="0" firstDataRow="1" firstDataCol="1"/>
  <pivotFields count="4">
    <pivotField dataField="1" showAll="0"/>
    <pivotField showAll="0">
      <items count="5">
        <item x="1"/>
        <item x="3"/>
        <item x="2"/>
        <item x="0"/>
        <item t="default"/>
      </items>
    </pivotField>
    <pivotField axis="axisRow" showAll="0">
      <items count="4">
        <item x="1"/>
        <item x="2"/>
        <item x="0"/>
        <item t="default"/>
      </items>
    </pivotField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1400" fld="3" baseField="0" baseItem="0"/>
    <dataField name="Sum of 45982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PivotDynamicArray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</v>
    <v>8</v>
    <v>9</v>
    <v>5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B01F17-C16C-4477-8069-4B18DE004C7F}" name="Table4" displayName="Table4" ref="M74:P81" totalsRowShown="0">
  <autoFilter ref="M74:P81" xr:uid="{D9B01F17-C16C-4477-8069-4B18DE004C7F}"/>
  <tableColumns count="4">
    <tableColumn id="1" xr3:uid="{B52732CB-FC8F-42BF-8A21-C08E40537938}" name="Column1"/>
    <tableColumn id="2" xr3:uid="{D2270CB0-DB04-4051-AC2C-7C2DAA98B6C8}" name="Column2"/>
    <tableColumn id="3" xr3:uid="{E029EC42-2E8C-458F-AEFF-C4AA8F9B5BF7}" name="Column3"/>
    <tableColumn id="4" xr3:uid="{D1F0772F-4737-48DF-A048-BA6C197ECF69}" name="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747798F-3680-453E-ABEC-24D241E87F2E}" name="Table5" displayName="Table5" ref="M94:O104" totalsRowShown="0">
  <autoFilter ref="M94:O104" xr:uid="{B747798F-3680-453E-ABEC-24D241E87F2E}"/>
  <tableColumns count="3">
    <tableColumn id="1" xr3:uid="{303A5E28-06B9-426B-800C-1BD220AB0898}" name="Column1"/>
    <tableColumn id="2" xr3:uid="{7AE58B62-DD45-40BB-BBA3-EE624ACB7482}" name="Column2"/>
    <tableColumn id="3" xr3:uid="{B8DF37CB-352C-497A-9E5C-62213F375033}" name="Column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AAC6AD7-886E-4408-9768-858CFB07FFAC}" name="Table6" displayName="Table6" ref="AC20:AC26" headerRowBorderDxfId="2" headerRowCellStyle="Heading 3">
  <autoFilter ref="AC20:AC26" xr:uid="{9AAC6AD7-886E-4408-9768-858CFB07FFAC}"/>
  <tableColumns count="1">
    <tableColumn id="1" xr3:uid="{6B4999AF-0C35-4E0A-B8D1-C1A9A77C755D}" name="Department" totalsRowFunction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AAAA327-2AD8-4368-B0A0-20F34655415C}" name="AnalyzeData" displayName="AnalyzeData" ref="V31:Z41" totalsRowShown="0">
  <autoFilter ref="V31:Z41" xr:uid="{DAAAA327-2AD8-4368-B0A0-20F34655415C}"/>
  <sortState xmlns:xlrd2="http://schemas.microsoft.com/office/spreadsheetml/2017/richdata2" ref="V32:Z39">
    <sortCondition ref="Z31:Z39"/>
  </sortState>
  <tableColumns count="5">
    <tableColumn id="1" xr3:uid="{E1D84317-2BB6-4A19-8C6F-C6B9FFC6574E}" name="Department"/>
    <tableColumn id="2" xr3:uid="{A04F93B2-1460-4C20-922A-081418ADEED7}" name="Category"/>
    <tableColumn id="3" xr3:uid="{FF38654B-7A49-47E6-9206-7D7A2F9B7D2A}" name="Oct" dataCellStyle="Currency"/>
    <tableColumn id="4" xr3:uid="{57FB9271-DA6E-4987-8BBF-E239F9DF72E0}" name="Nov" dataCellStyle="Currency"/>
    <tableColumn id="5" xr3:uid="{CC224304-5A50-4EBF-841C-B8ECDF1D4E50}" name="Dec" dataCellStyle="Currency"/>
  </tableColumns>
  <tableStyleInfo name="CustomTableStyle" showFirstColumn="0" showLastColumn="0" showRowStripes="1" showColumnStripes="0"/>
  <extLst>
    <ext xmlns:x14="http://schemas.microsoft.com/office/spreadsheetml/2009/9/main" uri="{504A1905-F514-4f6f-8877-14C23A59335A}">
      <x14:table altTextSummary="Quick Analysis table for filtering data. This sample data has Department, Category, Oct, Nov, and Dec amounts with sample data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471728E-01EF-4142-BD76-BD68F909AAAD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84C8-20D0-47E7-B04F-3099B9E6FFDE}">
  <dimension ref="A1:V10"/>
  <sheetViews>
    <sheetView showGridLines="0" zoomScale="78" zoomScaleNormal="78" workbookViewId="0">
      <selection activeCell="D24" sqref="D24"/>
    </sheetView>
  </sheetViews>
  <sheetFormatPr defaultRowHeight="14.4" x14ac:dyDescent="0.3"/>
  <cols>
    <col min="2" max="3" width="10.33203125" customWidth="1"/>
    <col min="4" max="4" width="15.6640625" customWidth="1"/>
    <col min="5" max="5" width="12" customWidth="1"/>
    <col min="6" max="6" width="11.33203125" customWidth="1"/>
    <col min="8" max="8" width="12.77734375" customWidth="1"/>
    <col min="9" max="9" width="10.77734375" customWidth="1"/>
    <col min="11" max="11" width="18.44140625" customWidth="1"/>
  </cols>
  <sheetData>
    <row r="1" spans="1:22" x14ac:dyDescent="0.3">
      <c r="A1">
        <v>1</v>
      </c>
      <c r="B1" s="4" t="s">
        <v>11</v>
      </c>
      <c r="C1" s="5" t="s">
        <v>12</v>
      </c>
    </row>
    <row r="2" spans="1:22" x14ac:dyDescent="0.3">
      <c r="A2">
        <v>2</v>
      </c>
      <c r="B2" s="6" t="b">
        <v>1</v>
      </c>
      <c r="C2" s="7"/>
    </row>
    <row r="3" spans="1:22" x14ac:dyDescent="0.3">
      <c r="A3">
        <v>3</v>
      </c>
      <c r="B3" s="8"/>
      <c r="C3" s="9"/>
    </row>
    <row r="4" spans="1:22" x14ac:dyDescent="0.3">
      <c r="A4">
        <v>4</v>
      </c>
      <c r="B4" s="2" t="s">
        <v>10</v>
      </c>
      <c r="C4" s="3" t="s">
        <v>10</v>
      </c>
      <c r="O4" t="s">
        <v>22</v>
      </c>
    </row>
    <row r="5" spans="1:22" x14ac:dyDescent="0.3">
      <c r="C5" s="1" t="s">
        <v>0</v>
      </c>
      <c r="D5" s="1" t="s">
        <v>6</v>
      </c>
      <c r="E5" s="1" t="s">
        <v>7</v>
      </c>
      <c r="F5" s="1" t="s">
        <v>8</v>
      </c>
      <c r="G5" s="1" t="s">
        <v>19</v>
      </c>
      <c r="H5" s="1" t="s">
        <v>18</v>
      </c>
      <c r="I5" s="1" t="s">
        <v>9</v>
      </c>
      <c r="J5" s="1" t="s">
        <v>20</v>
      </c>
      <c r="K5" s="1" t="s">
        <v>21</v>
      </c>
      <c r="N5" t="str" cm="1">
        <f t="array" ref="N5:V10">C5:K10</f>
        <v>Skill</v>
      </c>
      <c r="O5" t="str">
        <v>Difficulty 1-5</v>
      </c>
      <c r="P5" t="str">
        <v>Skill known</v>
      </c>
      <c r="Q5" t="str">
        <v>DateStarted</v>
      </c>
      <c r="R5" t="str">
        <v>Rate</v>
      </c>
      <c r="S5" t="str">
        <v>Difficulty level</v>
      </c>
      <c r="T5" t="str">
        <v>Skill &amp; level</v>
      </c>
      <c r="U5" t="str">
        <v>Skill_Rate</v>
      </c>
      <c r="V5" t="str">
        <v>Skill_Difficulty</v>
      </c>
    </row>
    <row r="6" spans="1:22" x14ac:dyDescent="0.3">
      <c r="C6" t="s">
        <v>1</v>
      </c>
      <c r="D6">
        <v>1</v>
      </c>
      <c r="E6" t="b">
        <v>1</v>
      </c>
      <c r="F6" s="10">
        <v>44600</v>
      </c>
      <c r="G6">
        <v>1</v>
      </c>
      <c r="H6" t="s">
        <v>13</v>
      </c>
      <c r="I6">
        <f>D6*2</f>
        <v>2</v>
      </c>
      <c r="J6" t="str">
        <f>C6&amp;G6</f>
        <v>Python1</v>
      </c>
      <c r="K6" t="str">
        <f>C6&amp;H6</f>
        <v>Pythonbeginner</v>
      </c>
      <c r="N6" t="str">
        <v>Python</v>
      </c>
      <c r="O6">
        <v>1</v>
      </c>
      <c r="P6" t="b">
        <v>1</v>
      </c>
      <c r="Q6">
        <v>44600</v>
      </c>
      <c r="R6">
        <v>1</v>
      </c>
      <c r="S6" t="str">
        <v>beginner</v>
      </c>
      <c r="T6">
        <v>2</v>
      </c>
      <c r="U6" t="str">
        <v>Python1</v>
      </c>
      <c r="V6" t="str">
        <v>Pythonbeginner</v>
      </c>
    </row>
    <row r="7" spans="1:22" x14ac:dyDescent="0.3">
      <c r="C7" t="s">
        <v>2</v>
      </c>
      <c r="D7">
        <v>2</v>
      </c>
      <c r="E7" t="b">
        <v>1</v>
      </c>
      <c r="F7" s="10">
        <v>44966</v>
      </c>
      <c r="G7">
        <v>3</v>
      </c>
      <c r="H7" t="s">
        <v>14</v>
      </c>
      <c r="I7">
        <f t="shared" ref="I7:I10" si="0">D7*2</f>
        <v>4</v>
      </c>
      <c r="J7" t="str">
        <f t="shared" ref="J7:J10" si="1">C7&amp;G7</f>
        <v>SQL3</v>
      </c>
      <c r="K7" t="str">
        <f t="shared" ref="K7:K10" si="2">C7&amp;H7</f>
        <v>SQLAdvanced</v>
      </c>
      <c r="N7" t="str">
        <v>SQL</v>
      </c>
      <c r="O7">
        <v>2</v>
      </c>
      <c r="P7" t="b">
        <v>1</v>
      </c>
      <c r="Q7">
        <v>44966</v>
      </c>
      <c r="R7">
        <v>3</v>
      </c>
      <c r="S7" t="str">
        <v>Advanced</v>
      </c>
      <c r="T7">
        <v>4</v>
      </c>
      <c r="U7" t="str">
        <v>SQL3</v>
      </c>
      <c r="V7" t="str">
        <v>SQLAdvanced</v>
      </c>
    </row>
    <row r="8" spans="1:22" x14ac:dyDescent="0.3">
      <c r="C8" t="s">
        <v>3</v>
      </c>
      <c r="D8">
        <v>3</v>
      </c>
      <c r="E8" t="b">
        <v>0</v>
      </c>
      <c r="F8" s="10">
        <v>46003</v>
      </c>
      <c r="G8">
        <v>5</v>
      </c>
      <c r="H8" t="s">
        <v>16</v>
      </c>
      <c r="I8">
        <f t="shared" si="0"/>
        <v>6</v>
      </c>
      <c r="J8" t="str">
        <f t="shared" si="1"/>
        <v>Tableau5</v>
      </c>
      <c r="K8" t="str">
        <f t="shared" si="2"/>
        <v>TableauNoob</v>
      </c>
      <c r="N8" t="str">
        <v>Tableau</v>
      </c>
      <c r="O8">
        <v>3</v>
      </c>
      <c r="P8" t="b">
        <v>0</v>
      </c>
      <c r="Q8">
        <v>46003</v>
      </c>
      <c r="R8">
        <v>5</v>
      </c>
      <c r="S8" t="str">
        <v>Noob</v>
      </c>
      <c r="T8">
        <v>6</v>
      </c>
      <c r="U8" t="str">
        <v>Tableau5</v>
      </c>
      <c r="V8" t="str">
        <v>TableauNoob</v>
      </c>
    </row>
    <row r="9" spans="1:22" x14ac:dyDescent="0.3">
      <c r="C9" t="s">
        <v>4</v>
      </c>
      <c r="D9">
        <v>4</v>
      </c>
      <c r="E9" t="b">
        <v>1</v>
      </c>
      <c r="F9" s="10">
        <v>46146</v>
      </c>
      <c r="G9">
        <v>7</v>
      </c>
      <c r="H9" t="s">
        <v>15</v>
      </c>
      <c r="I9">
        <f t="shared" si="0"/>
        <v>8</v>
      </c>
      <c r="J9" t="str">
        <f t="shared" si="1"/>
        <v>PowerBI7</v>
      </c>
      <c r="K9" t="str">
        <f t="shared" si="2"/>
        <v>PowerBIintermediate</v>
      </c>
      <c r="N9" t="str">
        <v>PowerBI</v>
      </c>
      <c r="O9">
        <v>4</v>
      </c>
      <c r="P9" t="b">
        <v>1</v>
      </c>
      <c r="Q9">
        <v>46146</v>
      </c>
      <c r="R9">
        <v>7</v>
      </c>
      <c r="S9" t="str">
        <v>intermediate</v>
      </c>
      <c r="T9">
        <v>8</v>
      </c>
      <c r="U9" t="str">
        <v>PowerBI7</v>
      </c>
      <c r="V9" t="str">
        <v>PowerBIintermediate</v>
      </c>
    </row>
    <row r="10" spans="1:22" x14ac:dyDescent="0.3">
      <c r="C10" t="s">
        <v>5</v>
      </c>
      <c r="D10">
        <v>5</v>
      </c>
      <c r="E10" t="b">
        <v>0</v>
      </c>
      <c r="F10" s="10">
        <v>46207</v>
      </c>
      <c r="G10">
        <v>9</v>
      </c>
      <c r="H10" t="s">
        <v>17</v>
      </c>
      <c r="I10">
        <f t="shared" si="0"/>
        <v>10</v>
      </c>
      <c r="J10" t="str">
        <f t="shared" si="1"/>
        <v>Excel9</v>
      </c>
      <c r="K10" t="str">
        <f t="shared" si="2"/>
        <v>ExcelPro</v>
      </c>
      <c r="N10" t="str">
        <v>Excel</v>
      </c>
      <c r="O10">
        <v>5</v>
      </c>
      <c r="P10" t="b">
        <v>0</v>
      </c>
      <c r="Q10">
        <v>46207</v>
      </c>
      <c r="R10">
        <v>9</v>
      </c>
      <c r="S10" t="str">
        <v>Pro</v>
      </c>
      <c r="T10">
        <v>10</v>
      </c>
      <c r="U10" t="str">
        <v>Excel9</v>
      </c>
      <c r="V10" t="str">
        <v>ExcelPro</v>
      </c>
    </row>
  </sheetData>
  <dataValidations count="2">
    <dataValidation type="list" allowBlank="1" showInputMessage="1" showErrorMessage="1" sqref="E2" xr:uid="{A892D257-3CB8-416C-951F-F1760B6007FC}">
      <formula1>$F$2</formula1>
    </dataValidation>
    <dataValidation type="list" allowBlank="1" showInputMessage="1" showErrorMessage="1" sqref="B1:C4" xr:uid="{34EFA63B-D0CA-4DBF-B1A3-3B6C4A82EFF8}">
      <formula1>$E$5:$E$10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67F41-E7A4-4E4E-BDA3-35014FD39B5B}">
  <dimension ref="A3:B12"/>
  <sheetViews>
    <sheetView topLeftCell="A2" workbookViewId="0">
      <selection activeCell="H23" sqref="H23"/>
    </sheetView>
  </sheetViews>
  <sheetFormatPr defaultRowHeight="14.4" x14ac:dyDescent="0.3"/>
  <cols>
    <col min="1" max="1" width="10.5546875" bestFit="1" customWidth="1"/>
    <col min="2" max="2" width="10.21875" bestFit="1" customWidth="1"/>
  </cols>
  <sheetData>
    <row r="3" spans="1:2" x14ac:dyDescent="0.3">
      <c r="A3" s="36" t="s">
        <v>85</v>
      </c>
      <c r="B3" t="s">
        <v>97</v>
      </c>
    </row>
    <row r="4" spans="1:2" x14ac:dyDescent="0.3">
      <c r="A4" t="s">
        <v>70</v>
      </c>
      <c r="B4" s="37">
        <v>200000</v>
      </c>
    </row>
    <row r="5" spans="1:2" x14ac:dyDescent="0.3">
      <c r="A5" t="s">
        <v>91</v>
      </c>
      <c r="B5" s="37">
        <v>20000</v>
      </c>
    </row>
    <row r="6" spans="1:2" x14ac:dyDescent="0.3">
      <c r="A6" t="s">
        <v>75</v>
      </c>
      <c r="B6" s="37">
        <v>150000</v>
      </c>
    </row>
    <row r="7" spans="1:2" x14ac:dyDescent="0.3">
      <c r="A7" t="s">
        <v>92</v>
      </c>
      <c r="B7" s="37">
        <v>120000</v>
      </c>
    </row>
    <row r="8" spans="1:2" x14ac:dyDescent="0.3">
      <c r="A8" t="s">
        <v>90</v>
      </c>
      <c r="B8" s="37">
        <v>40000</v>
      </c>
    </row>
    <row r="9" spans="1:2" x14ac:dyDescent="0.3">
      <c r="A9" t="s">
        <v>95</v>
      </c>
      <c r="B9" s="37">
        <v>25000</v>
      </c>
    </row>
    <row r="10" spans="1:2" x14ac:dyDescent="0.3">
      <c r="A10" t="s">
        <v>94</v>
      </c>
      <c r="B10" s="37">
        <v>20000</v>
      </c>
    </row>
    <row r="11" spans="1:2" x14ac:dyDescent="0.3">
      <c r="A11" t="s">
        <v>89</v>
      </c>
      <c r="B11" s="37">
        <v>30000</v>
      </c>
    </row>
    <row r="12" spans="1:2" x14ac:dyDescent="0.3">
      <c r="A12" t="s">
        <v>96</v>
      </c>
      <c r="B12" s="37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B8E2B-2A1F-45B6-8C18-BFECD6D607E8}">
  <sheetPr filterMode="1"/>
  <dimension ref="A2:AG100"/>
  <sheetViews>
    <sheetView tabSelected="1" topLeftCell="L89" workbookViewId="0">
      <selection activeCell="X105" sqref="X105"/>
    </sheetView>
  </sheetViews>
  <sheetFormatPr defaultRowHeight="14.4" x14ac:dyDescent="0.3"/>
  <cols>
    <col min="1" max="1" width="30" customWidth="1"/>
    <col min="2" max="2" width="15.21875" customWidth="1"/>
    <col min="3" max="3" width="14.44140625" customWidth="1"/>
    <col min="4" max="4" width="17.21875" customWidth="1"/>
    <col min="12" max="12" width="14.109375" customWidth="1"/>
    <col min="13" max="13" width="13.77734375" customWidth="1"/>
    <col min="14" max="14" width="10.5546875" customWidth="1"/>
    <col min="15" max="15" width="10.33203125" customWidth="1"/>
    <col min="22" max="22" width="12.44140625" bestFit="1" customWidth="1"/>
    <col min="23" max="23" width="11" bestFit="1" customWidth="1"/>
    <col min="24" max="24" width="12" bestFit="1" customWidth="1"/>
    <col min="25" max="26" width="15.21875" bestFit="1" customWidth="1"/>
    <col min="29" max="29" width="12.88671875" customWidth="1"/>
    <col min="31" max="31" width="11.33203125" customWidth="1"/>
  </cols>
  <sheetData>
    <row r="2" spans="1:33" s="25" customFormat="1" ht="22.2" x14ac:dyDescent="0.35">
      <c r="A2" s="23" t="s">
        <v>23</v>
      </c>
      <c r="B2" s="24"/>
      <c r="C2" s="24"/>
      <c r="D2" s="24"/>
      <c r="E2" s="24"/>
      <c r="F2" s="24"/>
      <c r="G2" s="24"/>
      <c r="H2" s="24"/>
      <c r="I2" s="24"/>
      <c r="J2" s="24"/>
      <c r="K2" s="24"/>
    </row>
    <row r="4" spans="1:33" ht="30" x14ac:dyDescent="0.7">
      <c r="D4" s="17" t="s">
        <v>25</v>
      </c>
      <c r="E4" s="17"/>
      <c r="F4" s="17"/>
      <c r="G4" s="17"/>
      <c r="H4" s="17"/>
      <c r="K4" s="26" t="s">
        <v>44</v>
      </c>
      <c r="L4" s="26"/>
      <c r="M4" s="26"/>
      <c r="N4" s="26"/>
      <c r="O4" s="26"/>
      <c r="P4" s="26"/>
      <c r="Q4" s="26"/>
      <c r="R4" s="26"/>
      <c r="U4" s="30" t="s">
        <v>65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</row>
    <row r="5" spans="1:33" x14ac:dyDescent="0.3">
      <c r="A5" s="11" t="s">
        <v>24</v>
      </c>
      <c r="B5" s="11"/>
    </row>
    <row r="6" spans="1:33" ht="15" thickBot="1" x14ac:dyDescent="0.35">
      <c r="A6" t="str" cm="1">
        <f t="array" ref="A6:B10">[1]!Fruit</f>
        <v>Fruit</v>
      </c>
      <c r="B6" t="str">
        <v>Amount</v>
      </c>
      <c r="E6" s="13" t="s">
        <v>27</v>
      </c>
      <c r="F6" s="13"/>
      <c r="G6" s="13"/>
      <c r="H6" s="13"/>
      <c r="L6" t="str" cm="1">
        <f t="array" ref="L6:P14">'[1]5. Sort &amp; filter'!$C$5:$G$13</f>
        <v>Department</v>
      </c>
      <c r="M6" t="str">
        <v>Category</v>
      </c>
      <c r="N6" t="str">
        <v>Oct</v>
      </c>
      <c r="O6" t="str">
        <v>Nov</v>
      </c>
      <c r="P6" t="str">
        <v>Dec</v>
      </c>
      <c r="W6" t="str" cm="1">
        <f t="array" ref="W6:X18">'[1]7. Drop-downs'!$C$3:$D$15</f>
        <v>Food</v>
      </c>
      <c r="X6" t="str">
        <v>Department</v>
      </c>
      <c r="AA6" t="s">
        <v>67</v>
      </c>
      <c r="AB6" t="s">
        <v>68</v>
      </c>
      <c r="AD6" s="31" t="s">
        <v>67</v>
      </c>
      <c r="AE6" s="31" t="s">
        <v>79</v>
      </c>
    </row>
    <row r="7" spans="1:33" x14ac:dyDescent="0.3">
      <c r="A7" t="str">
        <v>Apples</v>
      </c>
      <c r="B7">
        <v>50</v>
      </c>
      <c r="L7" t="str">
        <v>Meat</v>
      </c>
      <c r="M7" t="str">
        <v>Chicken</v>
      </c>
      <c r="N7">
        <v>75000</v>
      </c>
      <c r="O7">
        <v>82000</v>
      </c>
      <c r="P7">
        <v>2000000</v>
      </c>
      <c r="W7" t="str">
        <v>Apples</v>
      </c>
      <c r="X7">
        <v>0</v>
      </c>
      <c r="AA7" t="s">
        <v>69</v>
      </c>
      <c r="AD7" s="32" t="s">
        <v>69</v>
      </c>
    </row>
    <row r="8" spans="1:33" x14ac:dyDescent="0.3">
      <c r="A8" t="str">
        <v>Oranges</v>
      </c>
      <c r="B8">
        <v>20</v>
      </c>
      <c r="E8" s="14" t="s">
        <v>28</v>
      </c>
      <c r="F8" s="14"/>
      <c r="L8" t="str">
        <v>Bakery</v>
      </c>
      <c r="M8" t="str">
        <v>Desserts</v>
      </c>
      <c r="N8">
        <v>25000</v>
      </c>
      <c r="O8">
        <v>80000</v>
      </c>
      <c r="P8">
        <v>120000</v>
      </c>
      <c r="W8" t="str">
        <v>Beef</v>
      </c>
      <c r="X8">
        <v>0</v>
      </c>
      <c r="AA8" t="s">
        <v>32</v>
      </c>
      <c r="AD8" s="32" t="s">
        <v>70</v>
      </c>
    </row>
    <row r="9" spans="1:33" x14ac:dyDescent="0.3">
      <c r="A9" t="str">
        <v>Bananas</v>
      </c>
      <c r="B9">
        <v>60</v>
      </c>
      <c r="E9" t="str" cm="1">
        <f t="array" ref="E9:F14">[1]!Items</f>
        <v>Item</v>
      </c>
      <c r="F9" t="str">
        <v>Amount</v>
      </c>
      <c r="L9" t="str">
        <v>Meat</v>
      </c>
      <c r="M9" t="str">
        <v>Beef</v>
      </c>
      <c r="N9">
        <v>90000</v>
      </c>
      <c r="O9">
        <v>110000</v>
      </c>
      <c r="P9">
        <v>120000</v>
      </c>
      <c r="W9" t="str">
        <v>Bananas</v>
      </c>
      <c r="X9">
        <v>0</v>
      </c>
      <c r="AA9" t="s">
        <v>70</v>
      </c>
      <c r="AD9" s="32" t="s">
        <v>77</v>
      </c>
    </row>
    <row r="10" spans="1:33" x14ac:dyDescent="0.3">
      <c r="A10" t="str">
        <v>Lemons</v>
      </c>
      <c r="B10">
        <v>40</v>
      </c>
      <c r="E10" t="str">
        <v>Bread</v>
      </c>
      <c r="F10">
        <v>50</v>
      </c>
      <c r="L10" t="str">
        <v>Produce</v>
      </c>
      <c r="M10" t="str">
        <v>Fruit</v>
      </c>
      <c r="N10">
        <v>10000</v>
      </c>
      <c r="O10">
        <v>30000</v>
      </c>
      <c r="P10">
        <v>40000</v>
      </c>
      <c r="W10" t="str">
        <v>Lemons</v>
      </c>
      <c r="X10">
        <v>0</v>
      </c>
      <c r="AA10" t="s">
        <v>71</v>
      </c>
      <c r="AD10" s="32" t="s">
        <v>71</v>
      </c>
    </row>
    <row r="11" spans="1:33" x14ac:dyDescent="0.3">
      <c r="B11">
        <f>SUM(B7:B10)</f>
        <v>170</v>
      </c>
      <c r="E11" t="str">
        <v>Donuts</v>
      </c>
      <c r="F11">
        <v>100</v>
      </c>
      <c r="L11" t="str">
        <v>Produce</v>
      </c>
      <c r="M11" t="str">
        <v>Veggies</v>
      </c>
      <c r="N11">
        <v>30000</v>
      </c>
      <c r="O11">
        <v>80000</v>
      </c>
      <c r="P11">
        <v>30000</v>
      </c>
      <c r="W11" t="str">
        <v>Broccoli</v>
      </c>
      <c r="X11">
        <v>0</v>
      </c>
      <c r="AA11" t="s">
        <v>72</v>
      </c>
      <c r="AD11" s="32" t="s">
        <v>78</v>
      </c>
    </row>
    <row r="12" spans="1:33" x14ac:dyDescent="0.3">
      <c r="E12" t="str">
        <v>Cookies</v>
      </c>
      <c r="F12">
        <v>40</v>
      </c>
      <c r="L12" t="str">
        <v>Deli</v>
      </c>
      <c r="M12" t="str">
        <v>Salads</v>
      </c>
      <c r="N12">
        <v>90000</v>
      </c>
      <c r="O12">
        <v>35000</v>
      </c>
      <c r="P12">
        <v>25000</v>
      </c>
      <c r="W12" t="str">
        <v>Kale</v>
      </c>
      <c r="X12">
        <v>0</v>
      </c>
      <c r="AA12" t="s">
        <v>74</v>
      </c>
      <c r="AD12" s="32" t="s">
        <v>74</v>
      </c>
    </row>
    <row r="13" spans="1:33" x14ac:dyDescent="0.3">
      <c r="A13" s="12" t="s">
        <v>26</v>
      </c>
      <c r="B13" s="12"/>
      <c r="E13" t="str">
        <v>Cakes</v>
      </c>
      <c r="F13">
        <v>50</v>
      </c>
      <c r="L13" t="str">
        <v>Bakery</v>
      </c>
      <c r="M13" t="str">
        <v>Breads</v>
      </c>
      <c r="N13">
        <v>30000</v>
      </c>
      <c r="O13">
        <v>15000</v>
      </c>
      <c r="P13">
        <v>20000</v>
      </c>
      <c r="W13" t="str">
        <v>Ham</v>
      </c>
      <c r="X13">
        <v>0</v>
      </c>
      <c r="AA13" t="s">
        <v>73</v>
      </c>
      <c r="AB13" t="s">
        <v>76</v>
      </c>
      <c r="AD13" s="32" t="s">
        <v>73</v>
      </c>
    </row>
    <row r="14" spans="1:33" x14ac:dyDescent="0.3">
      <c r="A14" t="str" cm="1">
        <f t="array" ref="A14:B18">[1]!Meat</f>
        <v>Meat</v>
      </c>
      <c r="B14" t="str">
        <v>Amount</v>
      </c>
      <c r="E14" t="str">
        <v>Pies</v>
      </c>
      <c r="F14">
        <v>20</v>
      </c>
      <c r="L14" t="str">
        <v>Deli</v>
      </c>
      <c r="M14" t="str">
        <v>Sandwiches</v>
      </c>
      <c r="N14">
        <v>80000</v>
      </c>
      <c r="O14">
        <v>40000</v>
      </c>
      <c r="P14">
        <v>20000</v>
      </c>
      <c r="W14" t="str">
        <v>Bread</v>
      </c>
      <c r="X14">
        <v>0</v>
      </c>
      <c r="AA14" t="s">
        <v>36</v>
      </c>
      <c r="AD14" s="32" t="s">
        <v>36</v>
      </c>
    </row>
    <row r="15" spans="1:33" x14ac:dyDescent="0.3">
      <c r="A15" t="str">
        <v>Beef</v>
      </c>
      <c r="B15">
        <v>50</v>
      </c>
      <c r="F15">
        <f>SUMIF(F10:F14,"&gt;50")</f>
        <v>100</v>
      </c>
      <c r="W15" t="str">
        <v>Chicken</v>
      </c>
      <c r="X15">
        <v>0</v>
      </c>
      <c r="AA15" t="s">
        <v>75</v>
      </c>
      <c r="AD15" s="32" t="s">
        <v>75</v>
      </c>
    </row>
    <row r="16" spans="1:33" x14ac:dyDescent="0.3">
      <c r="A16" t="str">
        <v>Chicken</v>
      </c>
      <c r="B16">
        <v>30</v>
      </c>
      <c r="W16" t="str">
        <v>Cookies</v>
      </c>
      <c r="X16">
        <v>0</v>
      </c>
      <c r="AA16" t="s">
        <v>38</v>
      </c>
      <c r="AD16" s="32" t="s">
        <v>38</v>
      </c>
    </row>
    <row r="17" spans="1:33" x14ac:dyDescent="0.3">
      <c r="A17" t="str">
        <v>Pork</v>
      </c>
      <c r="B17">
        <v>10</v>
      </c>
      <c r="G17" s="12" t="s">
        <v>29</v>
      </c>
      <c r="H17" s="12"/>
      <c r="W17" t="str">
        <v>Cakes</v>
      </c>
      <c r="X17">
        <v>0</v>
      </c>
      <c r="AA17" t="s">
        <v>39</v>
      </c>
      <c r="AD17" s="32" t="s">
        <v>39</v>
      </c>
    </row>
    <row r="18" spans="1:33" x14ac:dyDescent="0.3">
      <c r="A18" t="str">
        <v>Fish</v>
      </c>
      <c r="B18">
        <v>50</v>
      </c>
      <c r="G18" t="str" cm="1">
        <f t="array" ref="G18:H23">[1]!ExtraCredit</f>
        <v>Item</v>
      </c>
      <c r="H18" t="str">
        <v>Amount</v>
      </c>
      <c r="L18" t="str" cm="1">
        <f t="array" aca="1" ref="L18:O24" ca="1">[1]!Sort[#All]</f>
        <v>Expense date</v>
      </c>
      <c r="M18" t="str">
        <f ca="1"/>
        <v>Employee</v>
      </c>
      <c r="N18" t="str">
        <f ca="1"/>
        <v>Food</v>
      </c>
      <c r="O18" t="str">
        <f ca="1"/>
        <v>Hotel</v>
      </c>
      <c r="W18" t="str">
        <v>Pies</v>
      </c>
      <c r="X18">
        <v>0</v>
      </c>
      <c r="AA18" t="s">
        <v>40</v>
      </c>
      <c r="AD18" s="32" t="s">
        <v>40</v>
      </c>
    </row>
    <row r="19" spans="1:33" x14ac:dyDescent="0.3">
      <c r="B19">
        <f xml:space="preserve"> SUM(B15:B18)</f>
        <v>140</v>
      </c>
      <c r="G19" t="str">
        <v>Bread</v>
      </c>
      <c r="H19">
        <v>50</v>
      </c>
      <c r="L19">
        <f ca="1"/>
        <v>46034</v>
      </c>
      <c r="M19" t="str">
        <f ca="1"/>
        <v>Laura</v>
      </c>
      <c r="N19">
        <f ca="1"/>
        <v>45</v>
      </c>
      <c r="O19">
        <f ca="1"/>
        <v>5050</v>
      </c>
    </row>
    <row r="20" spans="1:33" ht="15" thickBot="1" x14ac:dyDescent="0.35">
      <c r="G20" t="str">
        <v>Donuts</v>
      </c>
      <c r="H20">
        <v>100</v>
      </c>
      <c r="L20">
        <f ca="1"/>
        <v>46037</v>
      </c>
      <c r="M20" t="str">
        <f ca="1"/>
        <v>Jackie</v>
      </c>
      <c r="N20">
        <f ca="1"/>
        <v>21</v>
      </c>
      <c r="O20">
        <f ca="1"/>
        <v>3820</v>
      </c>
      <c r="AC20" s="31" t="s">
        <v>79</v>
      </c>
    </row>
    <row r="21" spans="1:33" x14ac:dyDescent="0.3">
      <c r="G21" t="str">
        <v>Cookies</v>
      </c>
      <c r="H21">
        <v>40</v>
      </c>
      <c r="L21">
        <f ca="1"/>
        <v>46039</v>
      </c>
      <c r="M21" t="str">
        <f ca="1"/>
        <v>Tricia</v>
      </c>
      <c r="N21">
        <f ca="1"/>
        <v>30</v>
      </c>
      <c r="O21">
        <f ca="1"/>
        <v>3085</v>
      </c>
      <c r="AC21" t="s">
        <v>66</v>
      </c>
    </row>
    <row r="22" spans="1:33" x14ac:dyDescent="0.3">
      <c r="G22" t="str">
        <v>Cakes</v>
      </c>
      <c r="H22">
        <v>50</v>
      </c>
      <c r="L22">
        <f ca="1"/>
        <v>46033</v>
      </c>
      <c r="M22" t="str">
        <f ca="1"/>
        <v>Dave</v>
      </c>
      <c r="N22">
        <f ca="1"/>
        <v>25</v>
      </c>
      <c r="O22">
        <f ca="1"/>
        <v>1611</v>
      </c>
      <c r="AC22" t="s">
        <v>80</v>
      </c>
    </row>
    <row r="23" spans="1:33" x14ac:dyDescent="0.3">
      <c r="G23" t="str">
        <v>Pies</v>
      </c>
      <c r="H23">
        <v>20</v>
      </c>
      <c r="L23">
        <f ca="1"/>
        <v>46035</v>
      </c>
      <c r="M23" t="str">
        <f ca="1"/>
        <v>Jeff</v>
      </c>
      <c r="N23">
        <f ca="1"/>
        <v>69</v>
      </c>
      <c r="O23">
        <f ca="1"/>
        <v>528</v>
      </c>
      <c r="AC23" t="s">
        <v>81</v>
      </c>
    </row>
    <row r="24" spans="1:33" x14ac:dyDescent="0.3">
      <c r="H24">
        <f>SUMIF(H19:H23,"&lt;100")</f>
        <v>160</v>
      </c>
      <c r="L24">
        <f ca="1"/>
        <v>46036</v>
      </c>
      <c r="M24" t="str">
        <f ca="1"/>
        <v>Mark</v>
      </c>
      <c r="N24">
        <f ca="1"/>
        <v>62</v>
      </c>
      <c r="O24">
        <f ca="1"/>
        <v>2112</v>
      </c>
      <c r="AC24" t="s">
        <v>76</v>
      </c>
    </row>
    <row r="25" spans="1:33" x14ac:dyDescent="0.3">
      <c r="A25" s="18" t="s">
        <v>30</v>
      </c>
      <c r="B25" s="18"/>
      <c r="C25" s="18"/>
      <c r="D25" s="18"/>
      <c r="E25" s="18"/>
      <c r="F25" s="18"/>
      <c r="G25" s="18"/>
      <c r="H25" s="18"/>
      <c r="AC25" t="s">
        <v>82</v>
      </c>
    </row>
    <row r="26" spans="1:33" x14ac:dyDescent="0.3">
      <c r="AC26" t="s">
        <v>83</v>
      </c>
    </row>
    <row r="27" spans="1:33" ht="30" x14ac:dyDescent="0.7">
      <c r="A27" s="15" t="s">
        <v>31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U27" s="34" t="s">
        <v>84</v>
      </c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 spans="1:33" x14ac:dyDescent="0.3">
      <c r="B28" t="str">
        <f>B51</f>
        <v>Flash Fill - Ctrl + E</v>
      </c>
      <c r="M28" t="str" cm="1">
        <f t="array" aca="1" ref="M28:P33" ca="1">'[1]5. Sort &amp; filter'!$C$49:$F$54</f>
        <v>Expense date</v>
      </c>
      <c r="N28" t="str">
        <f ca="1"/>
        <v>Employee</v>
      </c>
      <c r="O28" t="str">
        <f ca="1"/>
        <v>Food</v>
      </c>
      <c r="P28" t="str">
        <f ca="1"/>
        <v>Hotel</v>
      </c>
    </row>
    <row r="29" spans="1:33" x14ac:dyDescent="0.3">
      <c r="M29">
        <f ca="1"/>
        <v>46037</v>
      </c>
      <c r="N29" t="str">
        <f ca="1"/>
        <v>Jackie</v>
      </c>
      <c r="O29">
        <f ca="1"/>
        <v>21</v>
      </c>
      <c r="P29">
        <f ca="1"/>
        <v>3820</v>
      </c>
    </row>
    <row r="30" spans="1:33" x14ac:dyDescent="0.3">
      <c r="A30" t="str" cm="1">
        <f t="array" ref="A30:E34">'[1]2. Fill'!$C$3:$G$7</f>
        <v>This:</v>
      </c>
      <c r="B30" t="str">
        <v>Plus this:</v>
      </c>
      <c r="C30" t="str">
        <v>Equals:</v>
      </c>
      <c r="D30" t="str">
        <v>Plus this:</v>
      </c>
      <c r="E30" t="str">
        <v>Equals:</v>
      </c>
      <c r="G30" t="str" cm="1">
        <f t="array" ref="G30:K35">'[1]2. Fill'!$C$10:$G$15</f>
        <v>This:</v>
      </c>
      <c r="H30" t="str">
        <v>Plus this:</v>
      </c>
      <c r="I30" t="str">
        <v>Equals:</v>
      </c>
      <c r="J30" t="str">
        <v>Plus this:</v>
      </c>
      <c r="K30" t="str">
        <v>Equals:</v>
      </c>
      <c r="M30">
        <f ca="1"/>
        <v>46036</v>
      </c>
      <c r="N30" t="str">
        <f ca="1"/>
        <v>Mark</v>
      </c>
      <c r="O30">
        <f ca="1"/>
        <v>62</v>
      </c>
      <c r="P30">
        <f ca="1"/>
        <v>2112</v>
      </c>
    </row>
    <row r="31" spans="1:33" x14ac:dyDescent="0.3">
      <c r="A31">
        <v>50</v>
      </c>
      <c r="B31">
        <v>50</v>
      </c>
      <c r="C31">
        <v>100</v>
      </c>
      <c r="D31">
        <v>75</v>
      </c>
      <c r="E31">
        <v>175</v>
      </c>
      <c r="G31">
        <v>50</v>
      </c>
      <c r="H31">
        <v>50</v>
      </c>
      <c r="I31">
        <v>100</v>
      </c>
      <c r="J31">
        <v>75</v>
      </c>
      <c r="K31">
        <v>175</v>
      </c>
      <c r="M31">
        <f ca="1"/>
        <v>46039</v>
      </c>
      <c r="N31" t="str">
        <f ca="1"/>
        <v>Tricia</v>
      </c>
      <c r="O31">
        <f ca="1"/>
        <v>30</v>
      </c>
      <c r="P31">
        <f ca="1"/>
        <v>3085</v>
      </c>
      <c r="V31" t="s">
        <v>79</v>
      </c>
      <c r="W31" t="s">
        <v>85</v>
      </c>
      <c r="X31" t="s">
        <v>86</v>
      </c>
      <c r="Y31" t="s">
        <v>87</v>
      </c>
      <c r="Z31" t="s">
        <v>88</v>
      </c>
      <c r="AC31" t="str" cm="1">
        <f t="array" ref="AC31:AG39">[1]!AnalyzeData[#All]</f>
        <v>Department</v>
      </c>
      <c r="AD31" t="str">
        <v>Category</v>
      </c>
      <c r="AE31" t="str">
        <v>Oct</v>
      </c>
      <c r="AF31" t="str">
        <v>Nov</v>
      </c>
      <c r="AG31" t="str">
        <v>Dec</v>
      </c>
    </row>
    <row r="32" spans="1:33" x14ac:dyDescent="0.3">
      <c r="A32">
        <v>50</v>
      </c>
      <c r="B32">
        <v>60</v>
      </c>
      <c r="C32">
        <v>110</v>
      </c>
      <c r="D32">
        <v>75</v>
      </c>
      <c r="E32">
        <v>185</v>
      </c>
      <c r="G32">
        <v>50</v>
      </c>
      <c r="H32">
        <v>60</v>
      </c>
      <c r="I32">
        <v>110</v>
      </c>
      <c r="J32">
        <v>75</v>
      </c>
      <c r="K32">
        <v>185</v>
      </c>
      <c r="M32">
        <f ca="1"/>
        <v>46033</v>
      </c>
      <c r="N32" t="str">
        <f ca="1"/>
        <v>Dave</v>
      </c>
      <c r="O32">
        <f ca="1"/>
        <v>25</v>
      </c>
      <c r="P32">
        <f ca="1"/>
        <v>1611</v>
      </c>
      <c r="V32" t="s">
        <v>76</v>
      </c>
      <c r="W32" t="s">
        <v>91</v>
      </c>
      <c r="X32">
        <v>30000</v>
      </c>
      <c r="Y32" s="35">
        <v>15000</v>
      </c>
      <c r="Z32" s="35">
        <v>20000</v>
      </c>
      <c r="AC32" t="str">
        <v>Produce</v>
      </c>
      <c r="AD32" t="str">
        <v>Veggies</v>
      </c>
      <c r="AE32">
        <v>30000</v>
      </c>
      <c r="AF32">
        <v>80000</v>
      </c>
      <c r="AG32">
        <v>30000</v>
      </c>
    </row>
    <row r="33" spans="1:33" x14ac:dyDescent="0.3">
      <c r="A33">
        <v>50</v>
      </c>
      <c r="B33">
        <v>70</v>
      </c>
      <c r="C33">
        <v>120</v>
      </c>
      <c r="D33">
        <v>75</v>
      </c>
      <c r="E33">
        <v>195</v>
      </c>
      <c r="G33">
        <v>50</v>
      </c>
      <c r="H33">
        <v>70</v>
      </c>
      <c r="I33">
        <v>120</v>
      </c>
      <c r="J33">
        <v>75</v>
      </c>
      <c r="K33">
        <v>195</v>
      </c>
      <c r="M33">
        <f ca="1"/>
        <v>46034</v>
      </c>
      <c r="N33" t="str">
        <f ca="1"/>
        <v>Laura</v>
      </c>
      <c r="O33">
        <f ca="1"/>
        <v>45</v>
      </c>
      <c r="P33">
        <f ca="1"/>
        <v>5050</v>
      </c>
      <c r="V33" t="s">
        <v>93</v>
      </c>
      <c r="W33" t="s">
        <v>94</v>
      </c>
      <c r="X33">
        <v>30000</v>
      </c>
      <c r="Y33" s="35">
        <v>40000</v>
      </c>
      <c r="Z33" s="35">
        <v>20000</v>
      </c>
      <c r="AC33" t="str">
        <v>Produce</v>
      </c>
      <c r="AD33" t="str">
        <v>Fruit</v>
      </c>
      <c r="AE33">
        <v>10000</v>
      </c>
      <c r="AF33">
        <v>30000</v>
      </c>
      <c r="AG33">
        <v>40000</v>
      </c>
    </row>
    <row r="34" spans="1:33" x14ac:dyDescent="0.3">
      <c r="A34">
        <v>50</v>
      </c>
      <c r="B34">
        <v>80</v>
      </c>
      <c r="C34">
        <v>130</v>
      </c>
      <c r="D34">
        <v>75</v>
      </c>
      <c r="E34">
        <v>205</v>
      </c>
      <c r="G34">
        <v>50</v>
      </c>
      <c r="H34">
        <v>80</v>
      </c>
      <c r="I34">
        <v>130</v>
      </c>
      <c r="J34">
        <v>75</v>
      </c>
      <c r="K34">
        <v>205</v>
      </c>
      <c r="V34" t="s">
        <v>93</v>
      </c>
      <c r="W34" t="s">
        <v>95</v>
      </c>
      <c r="X34">
        <v>30000</v>
      </c>
      <c r="Y34" s="35">
        <v>35000</v>
      </c>
      <c r="Z34" s="35">
        <v>25000</v>
      </c>
      <c r="AC34" t="str">
        <v>Bakery</v>
      </c>
      <c r="AD34" t="str">
        <v>Breads</v>
      </c>
      <c r="AE34">
        <v>30000</v>
      </c>
      <c r="AF34">
        <v>15000</v>
      </c>
      <c r="AG34">
        <v>20000</v>
      </c>
    </row>
    <row r="35" spans="1:33" x14ac:dyDescent="0.3">
      <c r="G35">
        <v>200</v>
      </c>
      <c r="H35">
        <v>260</v>
      </c>
      <c r="I35">
        <v>460</v>
      </c>
      <c r="J35">
        <v>300</v>
      </c>
      <c r="K35">
        <v>760</v>
      </c>
      <c r="V35" t="s">
        <v>66</v>
      </c>
      <c r="W35" t="s">
        <v>89</v>
      </c>
      <c r="X35">
        <v>30000</v>
      </c>
      <c r="Y35" s="35">
        <v>80000</v>
      </c>
      <c r="Z35" s="35">
        <v>30000</v>
      </c>
      <c r="AC35" t="str">
        <v>Bakery</v>
      </c>
      <c r="AD35" t="str">
        <v>Desserts</v>
      </c>
      <c r="AE35">
        <v>25000</v>
      </c>
      <c r="AF35">
        <v>80000</v>
      </c>
      <c r="AG35">
        <v>120000</v>
      </c>
    </row>
    <row r="36" spans="1:33" x14ac:dyDescent="0.3">
      <c r="M36" t="str" cm="1">
        <f t="array" aca="1" ref="M36:P41" ca="1">'[1]5. Sort &amp; filter'!$C$49:$F$54</f>
        <v>Expense date</v>
      </c>
      <c r="N36" t="str">
        <f ca="1"/>
        <v>Employee</v>
      </c>
      <c r="O36" t="str">
        <f ca="1"/>
        <v>Food</v>
      </c>
      <c r="P36" t="str">
        <f ca="1"/>
        <v>Hotel</v>
      </c>
      <c r="V36" t="s">
        <v>66</v>
      </c>
      <c r="W36" t="s">
        <v>90</v>
      </c>
      <c r="X36">
        <v>30000</v>
      </c>
      <c r="Y36" s="35">
        <v>30000</v>
      </c>
      <c r="Z36" s="35">
        <v>40000</v>
      </c>
      <c r="AC36" t="str">
        <v>Deli</v>
      </c>
      <c r="AD36" t="str">
        <v>Sandwich</v>
      </c>
      <c r="AE36">
        <v>80000</v>
      </c>
      <c r="AF36">
        <v>40000</v>
      </c>
      <c r="AG36">
        <v>20000</v>
      </c>
    </row>
    <row r="37" spans="1:33" x14ac:dyDescent="0.3">
      <c r="M37">
        <f ca="1"/>
        <v>46037</v>
      </c>
      <c r="N37" t="str">
        <f ca="1"/>
        <v>Jackie</v>
      </c>
      <c r="O37">
        <f ca="1"/>
        <v>21</v>
      </c>
      <c r="P37">
        <f ca="1"/>
        <v>3820</v>
      </c>
      <c r="V37" t="s">
        <v>76</v>
      </c>
      <c r="W37" t="s">
        <v>92</v>
      </c>
      <c r="X37">
        <v>30000</v>
      </c>
      <c r="Y37" s="35">
        <v>80000</v>
      </c>
      <c r="Z37" s="35">
        <v>120000</v>
      </c>
      <c r="AC37" t="str">
        <v>Deli</v>
      </c>
      <c r="AD37" t="str">
        <v>Salads</v>
      </c>
      <c r="AE37">
        <v>90000</v>
      </c>
      <c r="AF37">
        <v>35000</v>
      </c>
      <c r="AG37">
        <v>25000</v>
      </c>
    </row>
    <row r="38" spans="1:33" x14ac:dyDescent="0.3">
      <c r="B38" t="str" cm="1">
        <f t="array" ref="B38:E42">'[1]2. Fill'!$C$33:$F$37</f>
        <v>Dept.</v>
      </c>
      <c r="C38" t="str">
        <v>Category</v>
      </c>
      <c r="D38" t="str">
        <v>Product</v>
      </c>
      <c r="E38" t="str">
        <v>Count</v>
      </c>
      <c r="H38" t="str" cm="1">
        <f t="array" ref="H38:H41">'[1]2. Fill'!$H$47:$H$50</f>
        <v>Qrtr 1</v>
      </c>
      <c r="M38">
        <f ca="1"/>
        <v>46036</v>
      </c>
      <c r="N38" t="str">
        <f ca="1"/>
        <v>Mark</v>
      </c>
      <c r="O38">
        <f ca="1"/>
        <v>62</v>
      </c>
      <c r="P38">
        <f ca="1"/>
        <v>2112</v>
      </c>
      <c r="V38" t="s">
        <v>80</v>
      </c>
      <c r="W38" t="s">
        <v>75</v>
      </c>
      <c r="X38">
        <v>30000</v>
      </c>
      <c r="Y38" s="35">
        <v>82000</v>
      </c>
      <c r="Z38" s="35">
        <v>150000</v>
      </c>
      <c r="AC38" t="str">
        <v>Meat</v>
      </c>
      <c r="AD38" t="str">
        <v>Beef</v>
      </c>
      <c r="AE38">
        <v>90000</v>
      </c>
      <c r="AF38">
        <v>110000</v>
      </c>
      <c r="AG38">
        <v>200000</v>
      </c>
    </row>
    <row r="39" spans="1:33" x14ac:dyDescent="0.3">
      <c r="B39" t="str">
        <v>Produce</v>
      </c>
      <c r="C39" t="str">
        <v>Fruit</v>
      </c>
      <c r="D39" t="str">
        <v>Apple</v>
      </c>
      <c r="E39">
        <v>100</v>
      </c>
      <c r="H39" t="str">
        <v>Qrtr 2</v>
      </c>
      <c r="M39">
        <f ca="1"/>
        <v>46039</v>
      </c>
      <c r="N39" t="str">
        <f ca="1"/>
        <v>Tricia</v>
      </c>
      <c r="O39">
        <f ca="1"/>
        <v>30</v>
      </c>
      <c r="P39">
        <f ca="1"/>
        <v>3085</v>
      </c>
      <c r="V39" t="s">
        <v>80</v>
      </c>
      <c r="W39" t="s">
        <v>70</v>
      </c>
      <c r="X39">
        <v>30000</v>
      </c>
      <c r="Y39" s="35">
        <v>110000</v>
      </c>
      <c r="Z39" s="35">
        <v>200000</v>
      </c>
      <c r="AC39" t="str">
        <v>Meat</v>
      </c>
      <c r="AD39" t="str">
        <v>Chicken</v>
      </c>
      <c r="AE39">
        <v>75000</v>
      </c>
      <c r="AF39">
        <v>82000</v>
      </c>
      <c r="AG39">
        <v>150000</v>
      </c>
    </row>
    <row r="40" spans="1:33" hidden="1" x14ac:dyDescent="0.3">
      <c r="B40" t="str">
        <v>Produce</v>
      </c>
      <c r="C40" t="str">
        <v>Fruit</v>
      </c>
      <c r="D40" t="str">
        <v>Orange</v>
      </c>
      <c r="E40">
        <v>200</v>
      </c>
      <c r="H40" t="str">
        <v>Qrtr 3</v>
      </c>
      <c r="M40">
        <f ca="1"/>
        <v>46033</v>
      </c>
      <c r="N40" t="str">
        <f ca="1"/>
        <v>Dave</v>
      </c>
      <c r="O40">
        <f ca="1"/>
        <v>25</v>
      </c>
      <c r="P40">
        <f ca="1"/>
        <v>1611</v>
      </c>
      <c r="X40">
        <v>30000</v>
      </c>
      <c r="Y40" s="35"/>
      <c r="Z40" s="35"/>
    </row>
    <row r="41" spans="1:33" hidden="1" x14ac:dyDescent="0.3">
      <c r="B41" t="str">
        <v>Produce</v>
      </c>
      <c r="C41" t="str">
        <v>Fruit</v>
      </c>
      <c r="D41" t="str">
        <v>Banana</v>
      </c>
      <c r="E41">
        <v>50</v>
      </c>
      <c r="H41" t="str">
        <v>Qrtr 4</v>
      </c>
      <c r="M41">
        <f ca="1"/>
        <v>46034</v>
      </c>
      <c r="N41" t="str">
        <f ca="1"/>
        <v>Laura</v>
      </c>
      <c r="O41">
        <f ca="1"/>
        <v>45</v>
      </c>
      <c r="P41">
        <f ca="1"/>
        <v>5050</v>
      </c>
      <c r="X41">
        <v>30000</v>
      </c>
      <c r="Y41" s="35"/>
      <c r="Z41" s="35"/>
    </row>
    <row r="42" spans="1:33" x14ac:dyDescent="0.3">
      <c r="B42" t="str">
        <v>Produce</v>
      </c>
      <c r="C42" t="str">
        <v>Fruit</v>
      </c>
      <c r="D42" t="str">
        <v>Pears</v>
      </c>
      <c r="E42">
        <v>100</v>
      </c>
    </row>
    <row r="45" spans="1:33" x14ac:dyDescent="0.3">
      <c r="A45" t="str" cm="1">
        <f t="array" ref="A45:F46">'[1]2. Fill'!$C$60:$H$61</f>
        <v>Intervals</v>
      </c>
      <c r="B45">
        <v>0</v>
      </c>
      <c r="C45">
        <v>0</v>
      </c>
      <c r="D45">
        <v>0</v>
      </c>
      <c r="E45">
        <v>0</v>
      </c>
      <c r="F45">
        <v>0</v>
      </c>
    </row>
    <row r="46" spans="1:33" x14ac:dyDescent="0.3">
      <c r="A46">
        <v>15</v>
      </c>
      <c r="B46">
        <v>30</v>
      </c>
      <c r="C46">
        <v>45</v>
      </c>
      <c r="D46">
        <v>60</v>
      </c>
      <c r="E46">
        <v>75</v>
      </c>
      <c r="F46">
        <v>90</v>
      </c>
    </row>
    <row r="49" spans="1:33" ht="30" x14ac:dyDescent="0.7">
      <c r="A49" s="19" t="s">
        <v>33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M49" s="27" t="s">
        <v>45</v>
      </c>
      <c r="N49" s="28"/>
      <c r="O49" s="28"/>
      <c r="P49" s="28"/>
      <c r="Q49" s="28"/>
      <c r="V49" s="39" t="s">
        <v>98</v>
      </c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</row>
    <row r="51" spans="1:33" x14ac:dyDescent="0.3">
      <c r="B51" t="s">
        <v>34</v>
      </c>
      <c r="M51" t="str" cm="1">
        <f t="array" ref="M51:Q60">'[1]6. Tables'!$C$5:$G$14</f>
        <v>Department</v>
      </c>
      <c r="N51" t="str">
        <v>Category</v>
      </c>
      <c r="O51" t="str">
        <v>Oct</v>
      </c>
      <c r="P51" t="str">
        <v>Nov</v>
      </c>
      <c r="Q51" t="str">
        <v>Dec</v>
      </c>
      <c r="X51" t="str" cm="1">
        <f t="array" aca="1" ref="X51:Y57" ca="1">[1]!RecommendedChartData[#All]</f>
        <v>Year</v>
      </c>
      <c r="Y51" t="str">
        <f ca="1"/>
        <v>Conference attendance</v>
      </c>
    </row>
    <row r="52" spans="1:33" x14ac:dyDescent="0.3">
      <c r="A52" t="str" cm="1">
        <f t="array" ref="A52:C57">'[1]3. Split'!$C$4:$E$9</f>
        <v>Email</v>
      </c>
      <c r="B52" t="str">
        <v>First name</v>
      </c>
      <c r="C52" t="str">
        <v>Last name</v>
      </c>
      <c r="M52" t="str">
        <v>Produce</v>
      </c>
      <c r="N52" t="str">
        <v>Veggies</v>
      </c>
      <c r="O52">
        <v>30000</v>
      </c>
      <c r="P52">
        <v>80000</v>
      </c>
      <c r="Q52">
        <v>30000</v>
      </c>
      <c r="X52">
        <f ca="1"/>
        <v>2021</v>
      </c>
      <c r="Y52">
        <f ca="1"/>
        <v>500</v>
      </c>
    </row>
    <row r="53" spans="1:33" x14ac:dyDescent="0.3">
      <c r="A53" t="str">
        <v>Nancy.Smith@contoso.com</v>
      </c>
      <c r="B53" t="str">
        <v>Nancy</v>
      </c>
      <c r="C53" t="str">
        <v>Smith</v>
      </c>
      <c r="M53" t="str">
        <v>Produce</v>
      </c>
      <c r="N53" t="str">
        <v>Fruit</v>
      </c>
      <c r="O53">
        <v>10000</v>
      </c>
      <c r="P53">
        <v>30000</v>
      </c>
      <c r="Q53">
        <v>40000</v>
      </c>
      <c r="X53">
        <f ca="1"/>
        <v>2022</v>
      </c>
      <c r="Y53">
        <f ca="1"/>
        <v>800</v>
      </c>
    </row>
    <row r="54" spans="1:33" x14ac:dyDescent="0.3">
      <c r="A54" t="str">
        <v>Andy.North@fabrikam.com</v>
      </c>
      <c r="B54" t="str">
        <v>Andy</v>
      </c>
      <c r="C54" t="str">
        <v>North</v>
      </c>
      <c r="M54" t="str">
        <v>Bakery</v>
      </c>
      <c r="N54" t="str">
        <v>Breads</v>
      </c>
      <c r="O54">
        <v>30000</v>
      </c>
      <c r="P54">
        <v>15000</v>
      </c>
      <c r="Q54">
        <v>20000</v>
      </c>
      <c r="X54">
        <f ca="1"/>
        <v>2023</v>
      </c>
      <c r="Y54">
        <f ca="1"/>
        <v>1000</v>
      </c>
    </row>
    <row r="55" spans="1:33" x14ac:dyDescent="0.3">
      <c r="A55" t="str">
        <v>Jan.Kotas@relecloud.com</v>
      </c>
      <c r="B55" t="str">
        <v>Jan</v>
      </c>
      <c r="C55" t="str">
        <v>Kotas</v>
      </c>
      <c r="M55" t="str">
        <v>Bakery</v>
      </c>
      <c r="N55" t="str">
        <v>Desserts</v>
      </c>
      <c r="O55">
        <v>25000</v>
      </c>
      <c r="P55">
        <v>80000</v>
      </c>
      <c r="Q55">
        <v>120000</v>
      </c>
      <c r="X55">
        <f ca="1"/>
        <v>2024</v>
      </c>
      <c r="Y55">
        <f ca="1"/>
        <v>900</v>
      </c>
    </row>
    <row r="56" spans="1:33" x14ac:dyDescent="0.3">
      <c r="A56" t="str">
        <v>Mariya.Jones@contoso.com</v>
      </c>
      <c r="B56" t="str">
        <v>Mariya</v>
      </c>
      <c r="C56" t="str">
        <v>Jones</v>
      </c>
      <c r="M56" t="str">
        <v>Deli</v>
      </c>
      <c r="N56" t="str">
        <v>Sandwich</v>
      </c>
      <c r="O56">
        <v>80000</v>
      </c>
      <c r="P56">
        <v>40000</v>
      </c>
      <c r="Q56">
        <v>20000</v>
      </c>
      <c r="X56">
        <f ca="1"/>
        <v>2025</v>
      </c>
      <c r="Y56">
        <f ca="1"/>
        <v>1000</v>
      </c>
    </row>
    <row r="57" spans="1:33" x14ac:dyDescent="0.3">
      <c r="A57" t="str">
        <v xml:space="preserve">Yvonne.McKay@fabrikam.com </v>
      </c>
      <c r="B57" t="str">
        <v>Yvonne</v>
      </c>
      <c r="C57" t="str">
        <v>McKay</v>
      </c>
      <c r="M57" t="str">
        <v>Deli</v>
      </c>
      <c r="N57" t="str">
        <v>Salads</v>
      </c>
      <c r="O57">
        <v>90000</v>
      </c>
      <c r="P57">
        <v>35000</v>
      </c>
      <c r="Q57">
        <v>25000</v>
      </c>
      <c r="X57">
        <f ca="1"/>
        <v>2026</v>
      </c>
      <c r="Y57">
        <f ca="1"/>
        <v>1200</v>
      </c>
    </row>
    <row r="58" spans="1:33" x14ac:dyDescent="0.3">
      <c r="M58" t="str">
        <v>Meat</v>
      </c>
      <c r="N58" t="str">
        <v>Beef</v>
      </c>
      <c r="O58">
        <v>90000</v>
      </c>
      <c r="P58">
        <v>110000</v>
      </c>
      <c r="Q58">
        <v>200000</v>
      </c>
    </row>
    <row r="59" spans="1:33" x14ac:dyDescent="0.3">
      <c r="M59" t="str">
        <v>Meat</v>
      </c>
      <c r="N59" t="str">
        <v>Chicken</v>
      </c>
      <c r="O59">
        <v>75000</v>
      </c>
      <c r="P59">
        <v>82000</v>
      </c>
      <c r="Q59">
        <v>150000</v>
      </c>
    </row>
    <row r="60" spans="1:33" x14ac:dyDescent="0.3">
      <c r="A60" t="str" cm="1">
        <f t="array" ref="A60:D68">'[1]3. Split'!$C$31:$F$39</f>
        <v>Data</v>
      </c>
      <c r="B60" t="str">
        <v>First name</v>
      </c>
      <c r="C60" t="str">
        <v>Last name</v>
      </c>
      <c r="D60" t="str">
        <v>Company name</v>
      </c>
      <c r="M60" t="str">
        <v>rice</v>
      </c>
      <c r="N60">
        <v>0</v>
      </c>
      <c r="O60">
        <v>0</v>
      </c>
      <c r="P60">
        <v>0</v>
      </c>
      <c r="Q60">
        <v>0</v>
      </c>
    </row>
    <row r="61" spans="1:33" x14ac:dyDescent="0.3">
      <c r="A61" t="str">
        <v>Nancy,Smith,Contoso Ltd.</v>
      </c>
      <c r="B61" t="str">
        <v>Nancy</v>
      </c>
      <c r="C61" t="str">
        <v>Smith</v>
      </c>
      <c r="D61" t="str">
        <v>Contoso Ltd.</v>
      </c>
    </row>
    <row r="62" spans="1:33" x14ac:dyDescent="0.3">
      <c r="A62" t="str">
        <v>Andy,North,Fabrikam Inc.</v>
      </c>
      <c r="B62" t="str">
        <v>Andy</v>
      </c>
      <c r="C62" t="str">
        <v>North</v>
      </c>
      <c r="D62" t="str">
        <v>Fabrikam Inc.</v>
      </c>
      <c r="M62" t="str" cm="1">
        <f t="array" ref="M62:Q71">'[1]6. Tables'!$C$5:$G$14</f>
        <v>Department</v>
      </c>
      <c r="N62" t="str">
        <v>Category</v>
      </c>
      <c r="O62" t="str">
        <v>Oct</v>
      </c>
      <c r="P62" t="str">
        <v>Nov</v>
      </c>
      <c r="Q62" t="str">
        <v>Dec</v>
      </c>
    </row>
    <row r="63" spans="1:33" x14ac:dyDescent="0.3">
      <c r="A63" t="str">
        <v>Jan,Kotas,Relecloud</v>
      </c>
      <c r="B63" t="str">
        <v>Jan</v>
      </c>
      <c r="C63" t="str">
        <v>Kotas</v>
      </c>
      <c r="D63" t="str">
        <v>Relecloud</v>
      </c>
      <c r="M63" t="str">
        <v>Produce</v>
      </c>
      <c r="N63" t="str">
        <v>Veggies</v>
      </c>
      <c r="O63">
        <v>30000</v>
      </c>
      <c r="P63">
        <v>80000</v>
      </c>
      <c r="Q63">
        <v>30000</v>
      </c>
    </row>
    <row r="64" spans="1:33" x14ac:dyDescent="0.3">
      <c r="A64" t="str">
        <v>Mariya,Jones,Contoso Ltd.</v>
      </c>
      <c r="B64" t="str">
        <v>Mariya</v>
      </c>
      <c r="C64" t="str">
        <v>Jones</v>
      </c>
      <c r="D64" t="str">
        <v>Contoso Ltd.</v>
      </c>
      <c r="M64" t="str">
        <v>Produce</v>
      </c>
      <c r="N64" t="str">
        <v>Fruit</v>
      </c>
      <c r="O64">
        <v>10000</v>
      </c>
      <c r="P64">
        <v>30000</v>
      </c>
      <c r="Q64">
        <v>40000</v>
      </c>
      <c r="V64" t="str" cm="1">
        <f t="array" aca="1" ref="V64:X70" ca="1">[1]!RecommendedChartData2[#All]</f>
        <v>Date</v>
      </c>
      <c r="W64" t="str">
        <f ca="1"/>
        <v>Conference attendance</v>
      </c>
      <c r="X64" t="str">
        <f ca="1"/>
        <v>Food sales</v>
      </c>
    </row>
    <row r="65" spans="1:24" x14ac:dyDescent="0.3">
      <c r="A65" t="str">
        <v>Steven,Thorpe,Relecloud</v>
      </c>
      <c r="B65" t="str">
        <v>Steven</v>
      </c>
      <c r="C65" t="str">
        <v>Thorpe</v>
      </c>
      <c r="D65" t="str">
        <v>Relecloud</v>
      </c>
      <c r="M65" t="str">
        <v>Bakery</v>
      </c>
      <c r="N65" t="str">
        <v>Breads</v>
      </c>
      <c r="O65">
        <v>30000</v>
      </c>
      <c r="P65">
        <v>15000</v>
      </c>
      <c r="Q65">
        <v>20000</v>
      </c>
      <c r="V65">
        <f ca="1"/>
        <v>2021</v>
      </c>
      <c r="W65">
        <f ca="1"/>
        <v>500</v>
      </c>
      <c r="X65">
        <f ca="1"/>
        <v>5000</v>
      </c>
    </row>
    <row r="66" spans="1:24" x14ac:dyDescent="0.3">
      <c r="A66" t="str">
        <v>Michael,Neipper,Fabrikam Inc.</v>
      </c>
      <c r="B66" t="str">
        <v>Michael</v>
      </c>
      <c r="C66" t="str">
        <v>Neipper</v>
      </c>
      <c r="D66" t="str">
        <v>Fabrikam Inc.</v>
      </c>
      <c r="M66" t="str">
        <v>Bakery</v>
      </c>
      <c r="N66" t="str">
        <v>Desserts</v>
      </c>
      <c r="O66">
        <v>25000</v>
      </c>
      <c r="P66">
        <v>80000</v>
      </c>
      <c r="Q66">
        <v>120000</v>
      </c>
      <c r="V66">
        <f ca="1"/>
        <v>2022</v>
      </c>
      <c r="W66">
        <f ca="1"/>
        <v>800</v>
      </c>
      <c r="X66">
        <f ca="1"/>
        <v>11200</v>
      </c>
    </row>
    <row r="67" spans="1:24" x14ac:dyDescent="0.3">
      <c r="A67" t="str">
        <v>Robert,Zare,Relecloud</v>
      </c>
      <c r="B67" t="str">
        <v>Robert</v>
      </c>
      <c r="C67" t="str">
        <v>Zare</v>
      </c>
      <c r="D67" t="str">
        <v>Relecloud</v>
      </c>
      <c r="M67" t="str">
        <v>Deli</v>
      </c>
      <c r="N67" t="str">
        <v>Sandwich</v>
      </c>
      <c r="O67">
        <v>80000</v>
      </c>
      <c r="P67">
        <v>40000</v>
      </c>
      <c r="Q67">
        <v>20000</v>
      </c>
      <c r="V67">
        <f ca="1"/>
        <v>2023</v>
      </c>
      <c r="W67">
        <f ca="1"/>
        <v>1000</v>
      </c>
      <c r="X67">
        <f ca="1"/>
        <v>30000</v>
      </c>
    </row>
    <row r="68" spans="1:24" x14ac:dyDescent="0.3">
      <c r="A68" t="str">
        <v>Yvonne,McKay,Contoso Ltd.</v>
      </c>
      <c r="B68" t="str">
        <v>Yvonne</v>
      </c>
      <c r="C68" t="str">
        <v>McKay</v>
      </c>
      <c r="D68" t="str">
        <v>Contoso Ltd.</v>
      </c>
      <c r="M68" t="str">
        <v>Deli</v>
      </c>
      <c r="N68" t="str">
        <v>Salads</v>
      </c>
      <c r="O68">
        <v>90000</v>
      </c>
      <c r="P68">
        <v>35000</v>
      </c>
      <c r="Q68">
        <v>25000</v>
      </c>
      <c r="V68">
        <f ca="1"/>
        <v>2024</v>
      </c>
      <c r="W68">
        <f ca="1"/>
        <v>900</v>
      </c>
      <c r="X68">
        <f ca="1"/>
        <v>25000</v>
      </c>
    </row>
    <row r="69" spans="1:24" x14ac:dyDescent="0.3">
      <c r="M69" t="str">
        <v>Meat</v>
      </c>
      <c r="N69" t="str">
        <v>Beef</v>
      </c>
      <c r="O69">
        <v>90000</v>
      </c>
      <c r="P69">
        <v>110000</v>
      </c>
      <c r="Q69">
        <v>200000</v>
      </c>
      <c r="V69">
        <f ca="1"/>
        <v>2025</v>
      </c>
      <c r="W69">
        <f ca="1"/>
        <v>1000</v>
      </c>
      <c r="X69">
        <f ca="1"/>
        <v>5000</v>
      </c>
    </row>
    <row r="70" spans="1:24" x14ac:dyDescent="0.3">
      <c r="M70" t="str">
        <v>Meat</v>
      </c>
      <c r="N70" t="str">
        <v>Chicken</v>
      </c>
      <c r="O70">
        <v>75000</v>
      </c>
      <c r="P70">
        <v>82000</v>
      </c>
      <c r="Q70">
        <v>150000</v>
      </c>
      <c r="V70">
        <f ca="1"/>
        <v>2026</v>
      </c>
      <c r="W70">
        <f ca="1"/>
        <v>1200</v>
      </c>
      <c r="X70">
        <f ca="1"/>
        <v>8000</v>
      </c>
    </row>
    <row r="71" spans="1:24" ht="27.6" x14ac:dyDescent="0.65">
      <c r="A71" s="20" t="s">
        <v>35</v>
      </c>
      <c r="B71" s="16"/>
      <c r="C71" s="16"/>
      <c r="D71" s="16"/>
      <c r="E71" s="16"/>
      <c r="F71" s="16"/>
      <c r="G71" s="16"/>
      <c r="M71" t="str">
        <v>rice</v>
      </c>
      <c r="N71">
        <v>0</v>
      </c>
      <c r="O71">
        <v>0</v>
      </c>
      <c r="P71">
        <v>0</v>
      </c>
      <c r="Q71">
        <v>0</v>
      </c>
    </row>
    <row r="73" spans="1:24" x14ac:dyDescent="0.3">
      <c r="A73" t="str" cm="1">
        <f t="array" ref="A73:F74">'[1]4. Transpose'!$C$5:$H$6</f>
        <v>Item</v>
      </c>
      <c r="B73" t="str">
        <v>Bread</v>
      </c>
      <c r="C73" t="str">
        <v>Donuts</v>
      </c>
      <c r="D73" t="str">
        <v>Cookies</v>
      </c>
      <c r="E73" t="str">
        <v>Cakes</v>
      </c>
      <c r="F73" t="str">
        <v>Pies</v>
      </c>
    </row>
    <row r="74" spans="1:24" x14ac:dyDescent="0.3">
      <c r="A74" t="str">
        <v>Amount</v>
      </c>
      <c r="B74">
        <v>50</v>
      </c>
      <c r="C74">
        <v>100</v>
      </c>
      <c r="D74">
        <v>40</v>
      </c>
      <c r="E74">
        <v>50</v>
      </c>
      <c r="F74">
        <v>20</v>
      </c>
      <c r="M74" t="s">
        <v>11</v>
      </c>
      <c r="N74" t="s">
        <v>12</v>
      </c>
      <c r="O74" t="s">
        <v>46</v>
      </c>
      <c r="P74" t="s">
        <v>63</v>
      </c>
    </row>
    <row r="75" spans="1:24" x14ac:dyDescent="0.3">
      <c r="M75" t="s">
        <v>47</v>
      </c>
      <c r="N75" t="s">
        <v>48</v>
      </c>
      <c r="O75" t="s">
        <v>49</v>
      </c>
      <c r="P75" t="s">
        <v>64</v>
      </c>
    </row>
    <row r="76" spans="1:24" x14ac:dyDescent="0.3">
      <c r="M76" t="s">
        <v>50</v>
      </c>
      <c r="N76" t="s">
        <v>55</v>
      </c>
      <c r="O76" t="s">
        <v>60</v>
      </c>
      <c r="P76">
        <v>1</v>
      </c>
    </row>
    <row r="77" spans="1:24" x14ac:dyDescent="0.3">
      <c r="M77" t="s">
        <v>51</v>
      </c>
      <c r="N77" t="s">
        <v>56</v>
      </c>
      <c r="O77" t="s">
        <v>60</v>
      </c>
      <c r="P77">
        <v>2</v>
      </c>
    </row>
    <row r="78" spans="1:24" x14ac:dyDescent="0.3">
      <c r="B78" t="s">
        <v>36</v>
      </c>
      <c r="C78" t="s">
        <v>37</v>
      </c>
      <c r="D78" t="s">
        <v>38</v>
      </c>
      <c r="E78" t="s">
        <v>39</v>
      </c>
      <c r="F78" t="s">
        <v>40</v>
      </c>
      <c r="G78" t="s">
        <v>42</v>
      </c>
      <c r="M78" t="s">
        <v>52</v>
      </c>
      <c r="N78" t="s">
        <v>57</v>
      </c>
      <c r="O78" t="s">
        <v>61</v>
      </c>
      <c r="P78">
        <v>3</v>
      </c>
    </row>
    <row r="79" spans="1:24" x14ac:dyDescent="0.3">
      <c r="B79">
        <v>50</v>
      </c>
      <c r="C79">
        <v>100</v>
      </c>
      <c r="D79">
        <v>40</v>
      </c>
      <c r="E79">
        <v>50</v>
      </c>
      <c r="F79">
        <v>20</v>
      </c>
      <c r="G79">
        <v>50</v>
      </c>
      <c r="M79" t="s">
        <v>53</v>
      </c>
      <c r="N79" t="s">
        <v>58</v>
      </c>
      <c r="O79" t="s">
        <v>61</v>
      </c>
      <c r="P79">
        <v>4</v>
      </c>
    </row>
    <row r="80" spans="1:24" x14ac:dyDescent="0.3">
      <c r="M80" t="s">
        <v>54</v>
      </c>
      <c r="N80" t="s">
        <v>59</v>
      </c>
      <c r="O80" t="s">
        <v>61</v>
      </c>
      <c r="P80">
        <v>5</v>
      </c>
    </row>
    <row r="81" spans="1:32" x14ac:dyDescent="0.3">
      <c r="B81" s="21" t="s">
        <v>41</v>
      </c>
      <c r="C81" s="21"/>
      <c r="M81" t="s">
        <v>62</v>
      </c>
      <c r="P81">
        <f>SUBTOTAL(109,P75:P80)</f>
        <v>15</v>
      </c>
    </row>
    <row r="82" spans="1:32" x14ac:dyDescent="0.3">
      <c r="B82" t="s">
        <v>36</v>
      </c>
      <c r="C82">
        <v>50</v>
      </c>
    </row>
    <row r="83" spans="1:32" x14ac:dyDescent="0.3">
      <c r="B83" t="s">
        <v>37</v>
      </c>
      <c r="C83">
        <v>100</v>
      </c>
    </row>
    <row r="84" spans="1:32" x14ac:dyDescent="0.3">
      <c r="B84" t="s">
        <v>38</v>
      </c>
      <c r="C84">
        <v>40</v>
      </c>
      <c r="M84" t="str" cm="1">
        <f t="array" ref="M84:R92">[1]!CalculatedColumns[#All]</f>
        <v>Department</v>
      </c>
      <c r="N84" t="str">
        <v>Category</v>
      </c>
      <c r="O84" t="str">
        <v>Oct</v>
      </c>
      <c r="P84" t="str">
        <v>Nov</v>
      </c>
      <c r="Q84" t="str">
        <v>Dec</v>
      </c>
      <c r="R84" t="str">
        <v>Total</v>
      </c>
    </row>
    <row r="85" spans="1:32" x14ac:dyDescent="0.3">
      <c r="B85" t="s">
        <v>39</v>
      </c>
      <c r="C85">
        <v>50</v>
      </c>
      <c r="M85" t="str">
        <v>Produce</v>
      </c>
      <c r="N85" t="str">
        <v>Veggies</v>
      </c>
      <c r="O85">
        <v>30000</v>
      </c>
      <c r="P85">
        <v>80000</v>
      </c>
      <c r="Q85">
        <v>30000</v>
      </c>
      <c r="R85">
        <v>140000</v>
      </c>
    </row>
    <row r="86" spans="1:32" ht="30" x14ac:dyDescent="0.7">
      <c r="B86" t="s">
        <v>40</v>
      </c>
      <c r="C86">
        <v>20</v>
      </c>
      <c r="M86" t="str">
        <v>Produce</v>
      </c>
      <c r="N86" t="str">
        <v>Fruit</v>
      </c>
      <c r="O86">
        <v>10000</v>
      </c>
      <c r="P86">
        <v>30000</v>
      </c>
      <c r="Q86">
        <v>40000</v>
      </c>
      <c r="R86">
        <v>80000</v>
      </c>
      <c r="U86" s="41" t="s">
        <v>99</v>
      </c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</row>
    <row r="87" spans="1:32" x14ac:dyDescent="0.3">
      <c r="M87" t="str">
        <v>Bakery</v>
      </c>
      <c r="N87" t="str">
        <v>Breads</v>
      </c>
      <c r="O87">
        <v>30000</v>
      </c>
      <c r="P87">
        <v>15000</v>
      </c>
      <c r="Q87">
        <v>20000</v>
      </c>
      <c r="R87">
        <v>65000</v>
      </c>
    </row>
    <row r="88" spans="1:32" x14ac:dyDescent="0.3">
      <c r="A88" s="22" t="s">
        <v>43</v>
      </c>
      <c r="M88" t="str">
        <v>Bakery</v>
      </c>
      <c r="N88" t="str">
        <v>Desserts</v>
      </c>
      <c r="O88">
        <v>25000</v>
      </c>
      <c r="P88">
        <v>80000</v>
      </c>
      <c r="Q88">
        <v>120000</v>
      </c>
      <c r="R88">
        <v>225000</v>
      </c>
    </row>
    <row r="89" spans="1:32" x14ac:dyDescent="0.3">
      <c r="A89" t="str">
        <f t="array" ref="A89:B94">TRANSPOSE(B78:G79)</f>
        <v>Bread</v>
      </c>
      <c r="B89">
        <v>50</v>
      </c>
      <c r="M89" t="str">
        <v>Deli</v>
      </c>
      <c r="N89" t="str">
        <v>Sandwiches</v>
      </c>
      <c r="O89">
        <v>80000</v>
      </c>
      <c r="P89">
        <v>40000</v>
      </c>
      <c r="Q89">
        <v>20000</v>
      </c>
      <c r="R89">
        <v>140000</v>
      </c>
    </row>
    <row r="90" spans="1:32" x14ac:dyDescent="0.3">
      <c r="A90" t="str">
        <v>Donuts</v>
      </c>
      <c r="B90">
        <v>100</v>
      </c>
      <c r="M90" t="str">
        <v>Deli</v>
      </c>
      <c r="N90" t="str">
        <v>Salads</v>
      </c>
      <c r="O90">
        <v>90000</v>
      </c>
      <c r="P90">
        <v>35000</v>
      </c>
      <c r="Q90">
        <v>25000</v>
      </c>
      <c r="R90">
        <v>150000</v>
      </c>
      <c r="V90" cm="1">
        <f t="array" aca="1" ref="V90:Y95" ca="1">[1]!PivotTableData[#Data]</f>
        <v>45982</v>
      </c>
      <c r="W90" t="str">
        <f ca="1"/>
        <v>Anne</v>
      </c>
      <c r="X90" t="str">
        <f ca="1"/>
        <v>Beer</v>
      </c>
      <c r="Y90">
        <f ca="1"/>
        <v>1400</v>
      </c>
    </row>
    <row r="91" spans="1:32" x14ac:dyDescent="0.3">
      <c r="A91" t="str">
        <v>Cookies</v>
      </c>
      <c r="B91">
        <v>40</v>
      </c>
      <c r="M91" t="str">
        <v>Meat</v>
      </c>
      <c r="N91" t="str">
        <v>Beef</v>
      </c>
      <c r="O91">
        <v>90000</v>
      </c>
      <c r="P91">
        <v>110000</v>
      </c>
      <c r="Q91">
        <v>200000</v>
      </c>
      <c r="R91">
        <v>400000</v>
      </c>
      <c r="V91">
        <f ca="1"/>
        <v>45987</v>
      </c>
      <c r="W91" t="str">
        <f ca="1"/>
        <v>Mark</v>
      </c>
      <c r="X91" t="str">
        <f ca="1"/>
        <v>Wine</v>
      </c>
      <c r="Y91">
        <f ca="1"/>
        <v>1010</v>
      </c>
    </row>
    <row r="92" spans="1:32" x14ac:dyDescent="0.3">
      <c r="A92" t="str">
        <v>Cakes</v>
      </c>
      <c r="B92">
        <v>50</v>
      </c>
      <c r="M92" t="str">
        <v>Meat</v>
      </c>
      <c r="N92" t="str">
        <v>Chicken</v>
      </c>
      <c r="O92">
        <v>75000</v>
      </c>
      <c r="P92">
        <v>82000</v>
      </c>
      <c r="Q92">
        <v>150000</v>
      </c>
      <c r="R92">
        <v>307000</v>
      </c>
      <c r="V92">
        <f ca="1"/>
        <v>46004</v>
      </c>
      <c r="W92" t="str">
        <f ca="1"/>
        <v>Anne</v>
      </c>
      <c r="X92" t="str">
        <f ca="1"/>
        <v>Beer</v>
      </c>
      <c r="Y92">
        <f ca="1"/>
        <v>750</v>
      </c>
    </row>
    <row r="93" spans="1:32" x14ac:dyDescent="0.3">
      <c r="A93" t="str">
        <v>Pies</v>
      </c>
      <c r="B93">
        <v>20</v>
      </c>
      <c r="V93">
        <f ca="1"/>
        <v>46008</v>
      </c>
      <c r="W93" t="str">
        <f ca="1"/>
        <v>Mark</v>
      </c>
      <c r="X93" t="str">
        <f ca="1"/>
        <v>Soda</v>
      </c>
      <c r="Y93">
        <f ca="1"/>
        <v>510</v>
      </c>
    </row>
    <row r="94" spans="1:32" x14ac:dyDescent="0.3">
      <c r="A94" t="str">
        <v>butts</v>
      </c>
      <c r="B94">
        <v>50</v>
      </c>
      <c r="M94" t="s">
        <v>11</v>
      </c>
      <c r="N94" t="s">
        <v>12</v>
      </c>
      <c r="O94" t="s">
        <v>46</v>
      </c>
      <c r="V94">
        <f ca="1"/>
        <v>46028</v>
      </c>
      <c r="W94" t="str">
        <f ca="1"/>
        <v>Mariya</v>
      </c>
      <c r="X94" t="str">
        <f ca="1"/>
        <v>Soda</v>
      </c>
      <c r="Y94">
        <f ca="1"/>
        <v>1600</v>
      </c>
    </row>
    <row r="95" spans="1:32" x14ac:dyDescent="0.3">
      <c r="M95" t="e" cm="1" vm="1">
        <f t="array" aca="1" ref="M95" ca="1">[1]!TotalRows[#All]</f>
        <v>#VALUE!</v>
      </c>
      <c r="V95">
        <f ca="1"/>
        <v>46039</v>
      </c>
      <c r="W95" t="str">
        <f ca="1"/>
        <v>Laura</v>
      </c>
      <c r="X95" t="str">
        <f ca="1"/>
        <v>Wine</v>
      </c>
      <c r="Y95">
        <f ca="1"/>
        <v>680</v>
      </c>
    </row>
    <row r="96" spans="1:32" x14ac:dyDescent="0.3">
      <c r="V96" s="36" t="s">
        <v>100</v>
      </c>
      <c r="W96" t="s">
        <v>105</v>
      </c>
      <c r="X96" t="s">
        <v>106</v>
      </c>
    </row>
    <row r="97" spans="22:24" x14ac:dyDescent="0.3">
      <c r="V97" s="42" t="s">
        <v>101</v>
      </c>
      <c r="W97" s="37">
        <v>750</v>
      </c>
      <c r="X97" s="37">
        <v>46004</v>
      </c>
    </row>
    <row r="98" spans="22:24" x14ac:dyDescent="0.3">
      <c r="V98" s="42" t="s">
        <v>102</v>
      </c>
      <c r="W98" s="37">
        <v>2110</v>
      </c>
      <c r="X98" s="37">
        <v>92036</v>
      </c>
    </row>
    <row r="99" spans="22:24" x14ac:dyDescent="0.3">
      <c r="V99" s="42" t="s">
        <v>103</v>
      </c>
      <c r="W99" s="37">
        <v>1690</v>
      </c>
      <c r="X99" s="37">
        <v>92026</v>
      </c>
    </row>
    <row r="100" spans="22:24" x14ac:dyDescent="0.3">
      <c r="V100" s="42" t="s">
        <v>104</v>
      </c>
      <c r="W100" s="37">
        <v>4550</v>
      </c>
      <c r="X100" s="37">
        <v>230066</v>
      </c>
    </row>
  </sheetData>
  <autoFilter ref="M36:P41" xr:uid="{D72B8E2B-2A1F-45B6-8C18-BFECD6D607E8}">
    <filterColumn colId="2">
      <customFilters>
        <customFilter operator="greaterThan" val="25"/>
      </customFilters>
    </filterColumn>
    <filterColumn colId="3">
      <dynamicFilter type="belowAverage" val="3135.6"/>
    </filterColumn>
  </autoFilter>
  <mergeCells count="17">
    <mergeCell ref="U86:AF86"/>
    <mergeCell ref="M49:Q49"/>
    <mergeCell ref="U4:AG4"/>
    <mergeCell ref="U27:AG27"/>
    <mergeCell ref="V49:AG49"/>
    <mergeCell ref="G17:H17"/>
    <mergeCell ref="A25:H25"/>
    <mergeCell ref="A27:K27"/>
    <mergeCell ref="A49:K49"/>
    <mergeCell ref="A71:G71"/>
    <mergeCell ref="B81:C81"/>
    <mergeCell ref="A5:B5"/>
    <mergeCell ref="D4:H4"/>
    <mergeCell ref="A13:B13"/>
    <mergeCell ref="E6:H6"/>
    <mergeCell ref="E8:F8"/>
    <mergeCell ref="K4:R4"/>
  </mergeCells>
  <conditionalFormatting sqref="W32:Z4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{4718937F-BFF2-4700-B40E-905EFC30677D}</x14:id>
        </ext>
      </extLst>
    </cfRule>
  </conditionalFormatting>
  <dataValidations count="3">
    <dataValidation type="list" allowBlank="1" showInputMessage="1" showErrorMessage="1" sqref="X7:X18" xr:uid="{EBA881F1-A44D-451A-B1DD-44176FF8A316}">
      <formula1>"Meat,Produce,Grain,Cereal, Bakery"</formula1>
    </dataValidation>
    <dataValidation type="list" allowBlank="1" showInputMessage="1" showErrorMessage="1" sqref="AB7:AB18" xr:uid="{58D8946F-6A6E-44E9-B6D6-AAA9B4883DD9}">
      <formula1>"Produce,Meat,Bakery,Cereal"</formula1>
    </dataValidation>
    <dataValidation type="list" allowBlank="1" showInputMessage="1" showErrorMessage="1" sqref="AE7:AE18" xr:uid="{31423BC4-B72C-40B6-A970-013C8376668D}">
      <formula1>$AC$21:$AC$26</formula1>
    </dataValidation>
  </dataValidations>
  <pageMargins left="0.7" right="0.7" top="0.75" bottom="0.75" header="0.3" footer="0.3"/>
  <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18937F-BFF2-4700-B40E-905EFC3067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W32:Z41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span" xr2:uid="{04D15F5D-4451-48B9-B5F3-0345B9C83F9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Hack!W32:Z32</xm:f>
              <xm:sqref>AA32</xm:sqref>
            </x14:sparkline>
            <x14:sparkline>
              <xm:f>Hack!W33:Z33</xm:f>
              <xm:sqref>AA33</xm:sqref>
            </x14:sparkline>
            <x14:sparkline>
              <xm:f>Hack!W34:Z34</xm:f>
              <xm:sqref>AA34</xm:sqref>
            </x14:sparkline>
            <x14:sparkline>
              <xm:f>Hack!W35:Z35</xm:f>
              <xm:sqref>AA35</xm:sqref>
            </x14:sparkline>
            <x14:sparkline>
              <xm:f>Hack!W36:Z36</xm:f>
              <xm:sqref>AA36</xm:sqref>
            </x14:sparkline>
            <x14:sparkline>
              <xm:f>Hack!W37:Z37</xm:f>
              <xm:sqref>AA37</xm:sqref>
            </x14:sparkline>
            <x14:sparkline>
              <xm:f>Hack!W38:Z38</xm:f>
              <xm:sqref>AA38</xm:sqref>
            </x14:sparkline>
            <x14:sparkline>
              <xm:f>Hack!W39:Z39</xm:f>
              <xm:sqref>AA39</xm:sqref>
            </x14:sparkline>
            <x14:sparkline>
              <xm:f>Hack!W40:Z40</xm:f>
              <xm:sqref>AA40</xm:sqref>
            </x14:sparkline>
            <x14:sparkline>
              <xm:f>Hack!W41:Z41</xm:f>
              <xm:sqref>AA41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Graph_for_table</vt:lpstr>
      <vt:lpstr>Hack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okai</dc:creator>
  <cp:lastModifiedBy>samuel okai</cp:lastModifiedBy>
  <dcterms:created xsi:type="dcterms:W3CDTF">2026-01-10T16:01:02Z</dcterms:created>
  <dcterms:modified xsi:type="dcterms:W3CDTF">2026-01-17T05:13:50Z</dcterms:modified>
</cp:coreProperties>
</file>